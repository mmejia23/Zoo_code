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hul\Dropbox\PROYECTOS\2024-ErikaOrozco\"/>
    </mc:Choice>
  </mc:AlternateContent>
  <xr:revisionPtr revIDLastSave="0" documentId="13_ncr:1_{B2016825-5DFE-4592-9C2E-3A04783B37FE}" xr6:coauthVersionLast="47" xr6:coauthVersionMax="47" xr10:uidLastSave="{00000000-0000-0000-0000-000000000000}"/>
  <bookViews>
    <workbookView xWindow="-28920" yWindow="-120" windowWidth="29040" windowHeight="15840" xr2:uid="{1DF3C624-301C-49BE-8B21-47E57926AF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2" i="1" l="1"/>
  <c r="P162" i="1"/>
  <c r="O162" i="1"/>
  <c r="N162" i="1"/>
  <c r="P26" i="1"/>
  <c r="Q19" i="1"/>
  <c r="K96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K2" i="1"/>
  <c r="J2" i="1"/>
  <c r="C2" i="2"/>
  <c r="D2" i="2"/>
  <c r="O2" i="2"/>
  <c r="P2" i="2"/>
  <c r="C3" i="2"/>
  <c r="D3" i="2"/>
  <c r="O3" i="2"/>
  <c r="P3" i="2"/>
  <c r="C4" i="2"/>
  <c r="O4" i="2" s="1"/>
  <c r="D4" i="2"/>
  <c r="P4" i="2" s="1"/>
  <c r="C5" i="2"/>
  <c r="D5" i="2"/>
  <c r="O5" i="2"/>
  <c r="P5" i="2"/>
  <c r="L9" i="1"/>
  <c r="N9" i="1" s="1"/>
  <c r="M9" i="1"/>
  <c r="O9" i="1" s="1"/>
  <c r="P9" i="1"/>
  <c r="L10" i="1"/>
  <c r="N10" i="1" s="1"/>
  <c r="M10" i="1"/>
  <c r="O10" i="1" s="1"/>
  <c r="Q10" i="1"/>
  <c r="L11" i="1"/>
  <c r="N11" i="1" s="1"/>
  <c r="M11" i="1"/>
  <c r="O11" i="1" s="1"/>
  <c r="L12" i="1"/>
  <c r="N12" i="1" s="1"/>
  <c r="M12" i="1"/>
  <c r="O12" i="1" s="1"/>
  <c r="L13" i="1"/>
  <c r="N13" i="1" s="1"/>
  <c r="M13" i="1"/>
  <c r="O13" i="1" s="1"/>
  <c r="Q13" i="1"/>
  <c r="L14" i="1"/>
  <c r="N14" i="1" s="1"/>
  <c r="M14" i="1"/>
  <c r="O14" i="1" s="1"/>
  <c r="L15" i="1"/>
  <c r="N15" i="1" s="1"/>
  <c r="M15" i="1"/>
  <c r="O15" i="1" s="1"/>
  <c r="P15" i="1"/>
  <c r="Q15" i="1"/>
  <c r="L16" i="1"/>
  <c r="N16" i="1" s="1"/>
  <c r="M16" i="1"/>
  <c r="O16" i="1" s="1"/>
  <c r="L17" i="1"/>
  <c r="N17" i="1" s="1"/>
  <c r="M17" i="1"/>
  <c r="O17" i="1" s="1"/>
  <c r="L18" i="1"/>
  <c r="N18" i="1" s="1"/>
  <c r="M18" i="1"/>
  <c r="O18" i="1" s="1"/>
  <c r="L19" i="1"/>
  <c r="N19" i="1" s="1"/>
  <c r="M19" i="1"/>
  <c r="O19" i="1" s="1"/>
  <c r="P19" i="1"/>
  <c r="L20" i="1"/>
  <c r="N20" i="1" s="1"/>
  <c r="M20" i="1"/>
  <c r="O20" i="1" s="1"/>
  <c r="P20" i="1"/>
  <c r="L21" i="1"/>
  <c r="N21" i="1" s="1"/>
  <c r="M21" i="1"/>
  <c r="O21" i="1" s="1"/>
  <c r="L22" i="1"/>
  <c r="N22" i="1" s="1"/>
  <c r="M22" i="1"/>
  <c r="O22" i="1" s="1"/>
  <c r="L23" i="1"/>
  <c r="N23" i="1" s="1"/>
  <c r="M23" i="1"/>
  <c r="O23" i="1" s="1"/>
  <c r="L24" i="1"/>
  <c r="N24" i="1" s="1"/>
  <c r="M24" i="1"/>
  <c r="O24" i="1" s="1"/>
  <c r="P24" i="1"/>
  <c r="L25" i="1"/>
  <c r="N25" i="1" s="1"/>
  <c r="M25" i="1"/>
  <c r="O25" i="1" s="1"/>
  <c r="L26" i="1"/>
  <c r="N26" i="1" s="1"/>
  <c r="M26" i="1"/>
  <c r="O26" i="1" s="1"/>
  <c r="L27" i="1"/>
  <c r="N27" i="1" s="1"/>
  <c r="M27" i="1"/>
  <c r="O27" i="1" s="1"/>
  <c r="L28" i="1"/>
  <c r="N28" i="1" s="1"/>
  <c r="M28" i="1"/>
  <c r="O28" i="1" s="1"/>
  <c r="P28" i="1"/>
  <c r="Q28" i="1"/>
  <c r="L29" i="1"/>
  <c r="N29" i="1" s="1"/>
  <c r="M29" i="1"/>
  <c r="O29" i="1" s="1"/>
  <c r="L30" i="1"/>
  <c r="N30" i="1" s="1"/>
  <c r="M30" i="1"/>
  <c r="O30" i="1" s="1"/>
  <c r="L31" i="1"/>
  <c r="N31" i="1" s="1"/>
  <c r="M31" i="1"/>
  <c r="O31" i="1" s="1"/>
  <c r="L32" i="1"/>
  <c r="N32" i="1" s="1"/>
  <c r="M32" i="1"/>
  <c r="O32" i="1" s="1"/>
  <c r="L33" i="1"/>
  <c r="N33" i="1" s="1"/>
  <c r="M33" i="1"/>
  <c r="O33" i="1" s="1"/>
  <c r="P33" i="1"/>
  <c r="L34" i="1"/>
  <c r="N34" i="1" s="1"/>
  <c r="M34" i="1"/>
  <c r="O34" i="1" s="1"/>
  <c r="L35" i="1"/>
  <c r="N35" i="1" s="1"/>
  <c r="M35" i="1"/>
  <c r="O35" i="1" s="1"/>
  <c r="P35" i="1"/>
  <c r="L36" i="1"/>
  <c r="N36" i="1" s="1"/>
  <c r="M36" i="1"/>
  <c r="O36" i="1" s="1"/>
  <c r="L37" i="1"/>
  <c r="N37" i="1" s="1"/>
  <c r="M37" i="1"/>
  <c r="O37" i="1" s="1"/>
  <c r="L38" i="1"/>
  <c r="N38" i="1" s="1"/>
  <c r="M38" i="1"/>
  <c r="O38" i="1" s="1"/>
  <c r="L39" i="1"/>
  <c r="N39" i="1" s="1"/>
  <c r="M39" i="1"/>
  <c r="O39" i="1" s="1"/>
  <c r="L40" i="1"/>
  <c r="N40" i="1" s="1"/>
  <c r="M40" i="1"/>
  <c r="O40" i="1" s="1"/>
  <c r="L41" i="1"/>
  <c r="N41" i="1" s="1"/>
  <c r="M41" i="1"/>
  <c r="O41" i="1" s="1"/>
  <c r="L42" i="1"/>
  <c r="N42" i="1" s="1"/>
  <c r="M42" i="1"/>
  <c r="O42" i="1" s="1"/>
  <c r="L43" i="1"/>
  <c r="N43" i="1" s="1"/>
  <c r="M43" i="1"/>
  <c r="O43" i="1" s="1"/>
  <c r="P43" i="1"/>
  <c r="L44" i="1"/>
  <c r="N44" i="1" s="1"/>
  <c r="M44" i="1"/>
  <c r="O44" i="1" s="1"/>
  <c r="L45" i="1"/>
  <c r="N45" i="1" s="1"/>
  <c r="M45" i="1"/>
  <c r="O45" i="1" s="1"/>
  <c r="L46" i="1"/>
  <c r="N46" i="1" s="1"/>
  <c r="M46" i="1"/>
  <c r="O46" i="1" s="1"/>
  <c r="L47" i="1"/>
  <c r="N47" i="1" s="1"/>
  <c r="M47" i="1"/>
  <c r="O47" i="1" s="1"/>
  <c r="L48" i="1"/>
  <c r="N48" i="1" s="1"/>
  <c r="M48" i="1"/>
  <c r="O48" i="1" s="1"/>
  <c r="L49" i="1"/>
  <c r="N49" i="1" s="1"/>
  <c r="M49" i="1"/>
  <c r="O49" i="1" s="1"/>
  <c r="L50" i="1"/>
  <c r="N50" i="1" s="1"/>
  <c r="M50" i="1"/>
  <c r="O50" i="1" s="1"/>
  <c r="Q50" i="1"/>
  <c r="L51" i="1"/>
  <c r="N51" i="1" s="1"/>
  <c r="M51" i="1"/>
  <c r="O51" i="1" s="1"/>
  <c r="L52" i="1"/>
  <c r="N52" i="1" s="1"/>
  <c r="M52" i="1"/>
  <c r="O52" i="1" s="1"/>
  <c r="L53" i="1"/>
  <c r="N53" i="1" s="1"/>
  <c r="M53" i="1"/>
  <c r="O53" i="1" s="1"/>
  <c r="L54" i="1"/>
  <c r="N54" i="1" s="1"/>
  <c r="M54" i="1"/>
  <c r="O54" i="1" s="1"/>
  <c r="L55" i="1"/>
  <c r="N55" i="1" s="1"/>
  <c r="M55" i="1"/>
  <c r="O55" i="1" s="1"/>
  <c r="L56" i="1"/>
  <c r="N56" i="1" s="1"/>
  <c r="M56" i="1"/>
  <c r="O56" i="1" s="1"/>
  <c r="L57" i="1"/>
  <c r="N57" i="1" s="1"/>
  <c r="M57" i="1"/>
  <c r="O57" i="1" s="1"/>
  <c r="L58" i="1"/>
  <c r="N58" i="1" s="1"/>
  <c r="M58" i="1"/>
  <c r="O58" i="1" s="1"/>
  <c r="L59" i="1"/>
  <c r="N59" i="1" s="1"/>
  <c r="M59" i="1"/>
  <c r="O59" i="1" s="1"/>
  <c r="P59" i="1"/>
  <c r="Q59" i="1"/>
  <c r="L60" i="1"/>
  <c r="N60" i="1" s="1"/>
  <c r="M60" i="1"/>
  <c r="O60" i="1" s="1"/>
  <c r="L61" i="1"/>
  <c r="N61" i="1" s="1"/>
  <c r="M61" i="1"/>
  <c r="O61" i="1" s="1"/>
  <c r="L62" i="1"/>
  <c r="N62" i="1" s="1"/>
  <c r="M62" i="1"/>
  <c r="O62" i="1" s="1"/>
  <c r="L63" i="1"/>
  <c r="N63" i="1" s="1"/>
  <c r="M63" i="1"/>
  <c r="O63" i="1" s="1"/>
  <c r="Q63" i="1"/>
  <c r="L64" i="1"/>
  <c r="N64" i="1" s="1"/>
  <c r="M64" i="1"/>
  <c r="O64" i="1" s="1"/>
  <c r="L65" i="1"/>
  <c r="N65" i="1" s="1"/>
  <c r="M65" i="1"/>
  <c r="O65" i="1" s="1"/>
  <c r="L66" i="1"/>
  <c r="N66" i="1" s="1"/>
  <c r="M66" i="1"/>
  <c r="O66" i="1" s="1"/>
  <c r="L67" i="1"/>
  <c r="N67" i="1" s="1"/>
  <c r="M67" i="1"/>
  <c r="O67" i="1" s="1"/>
  <c r="L68" i="1"/>
  <c r="N68" i="1" s="1"/>
  <c r="M68" i="1"/>
  <c r="O68" i="1" s="1"/>
  <c r="Q68" i="1"/>
  <c r="L69" i="1"/>
  <c r="N69" i="1" s="1"/>
  <c r="M69" i="1"/>
  <c r="O69" i="1" s="1"/>
  <c r="L70" i="1"/>
  <c r="N70" i="1" s="1"/>
  <c r="M70" i="1"/>
  <c r="O70" i="1" s="1"/>
  <c r="P70" i="1"/>
  <c r="Q70" i="1"/>
  <c r="L71" i="1"/>
  <c r="N71" i="1" s="1"/>
  <c r="M71" i="1"/>
  <c r="O71" i="1" s="1"/>
  <c r="L72" i="1"/>
  <c r="N72" i="1" s="1"/>
  <c r="M72" i="1"/>
  <c r="O72" i="1" s="1"/>
  <c r="L73" i="1"/>
  <c r="N73" i="1" s="1"/>
  <c r="M73" i="1"/>
  <c r="O73" i="1" s="1"/>
  <c r="L74" i="1"/>
  <c r="N74" i="1" s="1"/>
  <c r="M74" i="1"/>
  <c r="O74" i="1" s="1"/>
  <c r="Q74" i="1"/>
  <c r="L75" i="1"/>
  <c r="N75" i="1" s="1"/>
  <c r="M75" i="1"/>
  <c r="O75" i="1" s="1"/>
  <c r="Q75" i="1"/>
  <c r="L76" i="1"/>
  <c r="N76" i="1" s="1"/>
  <c r="M76" i="1"/>
  <c r="O76" i="1" s="1"/>
  <c r="L77" i="1"/>
  <c r="N77" i="1" s="1"/>
  <c r="M77" i="1"/>
  <c r="O77" i="1" s="1"/>
  <c r="L78" i="1"/>
  <c r="N78" i="1" s="1"/>
  <c r="M78" i="1"/>
  <c r="O78" i="1" s="1"/>
  <c r="Q78" i="1"/>
  <c r="L79" i="1"/>
  <c r="N79" i="1" s="1"/>
  <c r="M79" i="1"/>
  <c r="O79" i="1" s="1"/>
  <c r="L80" i="1"/>
  <c r="N80" i="1" s="1"/>
  <c r="M80" i="1"/>
  <c r="O80" i="1" s="1"/>
  <c r="Q80" i="1"/>
  <c r="L81" i="1"/>
  <c r="N81" i="1" s="1"/>
  <c r="M81" i="1"/>
  <c r="O81" i="1" s="1"/>
  <c r="L82" i="1"/>
  <c r="N82" i="1" s="1"/>
  <c r="M82" i="1"/>
  <c r="O82" i="1" s="1"/>
  <c r="L83" i="1"/>
  <c r="N83" i="1" s="1"/>
  <c r="M83" i="1"/>
  <c r="O83" i="1" s="1"/>
  <c r="Q83" i="1"/>
  <c r="L84" i="1"/>
  <c r="N84" i="1" s="1"/>
  <c r="M84" i="1"/>
  <c r="O84" i="1" s="1"/>
  <c r="Q84" i="1"/>
  <c r="L85" i="1"/>
  <c r="N85" i="1" s="1"/>
  <c r="M85" i="1"/>
  <c r="O85" i="1" s="1"/>
  <c r="P85" i="1"/>
  <c r="Q85" i="1"/>
  <c r="L86" i="1"/>
  <c r="N86" i="1" s="1"/>
  <c r="M86" i="1"/>
  <c r="O86" i="1" s="1"/>
  <c r="L87" i="1"/>
  <c r="N87" i="1" s="1"/>
  <c r="M87" i="1"/>
  <c r="O87" i="1" s="1"/>
  <c r="L88" i="1"/>
  <c r="N88" i="1" s="1"/>
  <c r="M88" i="1"/>
  <c r="O88" i="1" s="1"/>
  <c r="Q88" i="1"/>
  <c r="L89" i="1"/>
  <c r="N89" i="1" s="1"/>
  <c r="M89" i="1"/>
  <c r="O89" i="1" s="1"/>
  <c r="Q89" i="1"/>
  <c r="L90" i="1"/>
  <c r="N90" i="1" s="1"/>
  <c r="M90" i="1"/>
  <c r="O90" i="1" s="1"/>
  <c r="L91" i="1"/>
  <c r="N91" i="1" s="1"/>
  <c r="M91" i="1"/>
  <c r="O91" i="1" s="1"/>
  <c r="L92" i="1"/>
  <c r="N92" i="1" s="1"/>
  <c r="M92" i="1"/>
  <c r="O92" i="1" s="1"/>
  <c r="L93" i="1"/>
  <c r="N93" i="1" s="1"/>
  <c r="M93" i="1"/>
  <c r="O93" i="1" s="1"/>
  <c r="P93" i="1"/>
  <c r="L94" i="1"/>
  <c r="N94" i="1" s="1"/>
  <c r="M94" i="1"/>
  <c r="O94" i="1" s="1"/>
  <c r="L95" i="1"/>
  <c r="N95" i="1" s="1"/>
  <c r="M95" i="1"/>
  <c r="O95" i="1" s="1"/>
  <c r="P95" i="1"/>
  <c r="L96" i="1"/>
  <c r="N96" i="1" s="1"/>
  <c r="M96" i="1"/>
  <c r="O96" i="1" s="1"/>
  <c r="L97" i="1"/>
  <c r="N97" i="1" s="1"/>
  <c r="M97" i="1"/>
  <c r="O97" i="1" s="1"/>
  <c r="L98" i="1"/>
  <c r="N98" i="1" s="1"/>
  <c r="M98" i="1"/>
  <c r="O98" i="1" s="1"/>
  <c r="L99" i="1"/>
  <c r="N99" i="1" s="1"/>
  <c r="M99" i="1"/>
  <c r="O99" i="1" s="1"/>
  <c r="L100" i="1"/>
  <c r="N100" i="1" s="1"/>
  <c r="M100" i="1"/>
  <c r="O100" i="1" s="1"/>
  <c r="P100" i="1"/>
  <c r="L101" i="1"/>
  <c r="N101" i="1" s="1"/>
  <c r="M101" i="1"/>
  <c r="O101" i="1" s="1"/>
  <c r="L102" i="1"/>
  <c r="N102" i="1" s="1"/>
  <c r="M102" i="1"/>
  <c r="O102" i="1" s="1"/>
  <c r="L103" i="1"/>
  <c r="N103" i="1" s="1"/>
  <c r="M103" i="1"/>
  <c r="O103" i="1" s="1"/>
  <c r="Q103" i="1"/>
  <c r="L104" i="1"/>
  <c r="N104" i="1" s="1"/>
  <c r="M104" i="1"/>
  <c r="O104" i="1" s="1"/>
  <c r="P104" i="1"/>
  <c r="L105" i="1"/>
  <c r="N105" i="1" s="1"/>
  <c r="M105" i="1"/>
  <c r="O105" i="1" s="1"/>
  <c r="L106" i="1"/>
  <c r="N106" i="1" s="1"/>
  <c r="M106" i="1"/>
  <c r="O106" i="1" s="1"/>
  <c r="L107" i="1"/>
  <c r="N107" i="1" s="1"/>
  <c r="M107" i="1"/>
  <c r="O107" i="1" s="1"/>
  <c r="L108" i="1"/>
  <c r="N108" i="1" s="1"/>
  <c r="M108" i="1"/>
  <c r="O108" i="1" s="1"/>
  <c r="L109" i="1"/>
  <c r="N109" i="1" s="1"/>
  <c r="M109" i="1"/>
  <c r="O109" i="1" s="1"/>
  <c r="P109" i="1"/>
  <c r="L110" i="1"/>
  <c r="N110" i="1" s="1"/>
  <c r="M110" i="1"/>
  <c r="O110" i="1" s="1"/>
  <c r="L111" i="1"/>
  <c r="N111" i="1" s="1"/>
  <c r="M111" i="1"/>
  <c r="O111" i="1" s="1"/>
  <c r="L112" i="1"/>
  <c r="N112" i="1" s="1"/>
  <c r="M112" i="1"/>
  <c r="O112" i="1" s="1"/>
  <c r="L113" i="1"/>
  <c r="N113" i="1" s="1"/>
  <c r="M113" i="1"/>
  <c r="O113" i="1" s="1"/>
  <c r="P113" i="1"/>
  <c r="Q113" i="1"/>
  <c r="L114" i="1"/>
  <c r="N114" i="1" s="1"/>
  <c r="M114" i="1"/>
  <c r="O114" i="1" s="1"/>
  <c r="L115" i="1"/>
  <c r="N115" i="1" s="1"/>
  <c r="M115" i="1"/>
  <c r="O115" i="1" s="1"/>
  <c r="L116" i="1"/>
  <c r="N116" i="1" s="1"/>
  <c r="M116" i="1"/>
  <c r="O116" i="1" s="1"/>
  <c r="L117" i="1"/>
  <c r="N117" i="1" s="1"/>
  <c r="M117" i="1"/>
  <c r="O117" i="1" s="1"/>
  <c r="L118" i="1"/>
  <c r="N118" i="1" s="1"/>
  <c r="M118" i="1"/>
  <c r="O118" i="1" s="1"/>
  <c r="P118" i="1"/>
  <c r="L119" i="1"/>
  <c r="N119" i="1" s="1"/>
  <c r="M119" i="1"/>
  <c r="O119" i="1" s="1"/>
  <c r="P119" i="1"/>
  <c r="L120" i="1"/>
  <c r="N120" i="1" s="1"/>
  <c r="M120" i="1"/>
  <c r="O120" i="1" s="1"/>
  <c r="P120" i="1"/>
  <c r="Q120" i="1"/>
  <c r="L121" i="1"/>
  <c r="N121" i="1" s="1"/>
  <c r="M121" i="1"/>
  <c r="O121" i="1" s="1"/>
  <c r="L122" i="1"/>
  <c r="N122" i="1" s="1"/>
  <c r="M122" i="1"/>
  <c r="O122" i="1" s="1"/>
  <c r="L123" i="1"/>
  <c r="N123" i="1" s="1"/>
  <c r="M123" i="1"/>
  <c r="O123" i="1" s="1"/>
  <c r="L124" i="1"/>
  <c r="N124" i="1" s="1"/>
  <c r="M124" i="1"/>
  <c r="O124" i="1" s="1"/>
  <c r="Q124" i="1"/>
  <c r="L125" i="1"/>
  <c r="N125" i="1" s="1"/>
  <c r="M125" i="1"/>
  <c r="O125" i="1" s="1"/>
  <c r="L126" i="1"/>
  <c r="N126" i="1" s="1"/>
  <c r="M126" i="1"/>
  <c r="O126" i="1" s="1"/>
  <c r="L127" i="1"/>
  <c r="N127" i="1" s="1"/>
  <c r="M127" i="1"/>
  <c r="O127" i="1" s="1"/>
  <c r="L128" i="1"/>
  <c r="N128" i="1" s="1"/>
  <c r="M128" i="1"/>
  <c r="O128" i="1" s="1"/>
  <c r="L129" i="1"/>
  <c r="N129" i="1" s="1"/>
  <c r="M129" i="1"/>
  <c r="O129" i="1" s="1"/>
  <c r="Q129" i="1"/>
  <c r="L130" i="1"/>
  <c r="N130" i="1" s="1"/>
  <c r="M130" i="1"/>
  <c r="O130" i="1" s="1"/>
  <c r="P130" i="1"/>
  <c r="L131" i="1"/>
  <c r="N131" i="1" s="1"/>
  <c r="M131" i="1"/>
  <c r="O131" i="1" s="1"/>
  <c r="L132" i="1"/>
  <c r="N132" i="1" s="1"/>
  <c r="M132" i="1"/>
  <c r="O132" i="1" s="1"/>
  <c r="L133" i="1"/>
  <c r="N133" i="1" s="1"/>
  <c r="M133" i="1"/>
  <c r="O133" i="1" s="1"/>
  <c r="Q133" i="1"/>
  <c r="L134" i="1"/>
  <c r="N134" i="1" s="1"/>
  <c r="M134" i="1"/>
  <c r="O134" i="1" s="1"/>
  <c r="L135" i="1"/>
  <c r="N135" i="1" s="1"/>
  <c r="M135" i="1"/>
  <c r="O135" i="1" s="1"/>
  <c r="Q135" i="1"/>
  <c r="L136" i="1"/>
  <c r="N136" i="1" s="1"/>
  <c r="M136" i="1"/>
  <c r="Q136" i="1" s="1"/>
  <c r="L137" i="1"/>
  <c r="N137" i="1" s="1"/>
  <c r="M137" i="1"/>
  <c r="O137" i="1" s="1"/>
  <c r="L138" i="1"/>
  <c r="N138" i="1" s="1"/>
  <c r="M138" i="1"/>
  <c r="O138" i="1" s="1"/>
  <c r="P138" i="1"/>
  <c r="L139" i="1"/>
  <c r="N139" i="1" s="1"/>
  <c r="M139" i="1"/>
  <c r="O139" i="1" s="1"/>
  <c r="Q139" i="1"/>
  <c r="L140" i="1"/>
  <c r="N140" i="1" s="1"/>
  <c r="M140" i="1"/>
  <c r="O140" i="1" s="1"/>
  <c r="L141" i="1"/>
  <c r="N141" i="1" s="1"/>
  <c r="M141" i="1"/>
  <c r="O141" i="1" s="1"/>
  <c r="L142" i="1"/>
  <c r="N142" i="1" s="1"/>
  <c r="M142" i="1"/>
  <c r="O142" i="1" s="1"/>
  <c r="L143" i="1"/>
  <c r="N143" i="1" s="1"/>
  <c r="M143" i="1"/>
  <c r="O143" i="1" s="1"/>
  <c r="Q143" i="1"/>
  <c r="L144" i="1"/>
  <c r="N144" i="1" s="1"/>
  <c r="M144" i="1"/>
  <c r="O144" i="1" s="1"/>
  <c r="L145" i="1"/>
  <c r="N145" i="1" s="1"/>
  <c r="M145" i="1"/>
  <c r="O145" i="1" s="1"/>
  <c r="L146" i="1"/>
  <c r="N146" i="1" s="1"/>
  <c r="M146" i="1"/>
  <c r="Q146" i="1" s="1"/>
  <c r="L147" i="1"/>
  <c r="N147" i="1" s="1"/>
  <c r="M147" i="1"/>
  <c r="O147" i="1" s="1"/>
  <c r="L148" i="1"/>
  <c r="N148" i="1" s="1"/>
  <c r="M148" i="1"/>
  <c r="O148" i="1" s="1"/>
  <c r="P148" i="1"/>
  <c r="L149" i="1"/>
  <c r="N149" i="1" s="1"/>
  <c r="M149" i="1"/>
  <c r="O149" i="1" s="1"/>
  <c r="P149" i="1"/>
  <c r="L150" i="1"/>
  <c r="N150" i="1" s="1"/>
  <c r="M150" i="1"/>
  <c r="O150" i="1" s="1"/>
  <c r="L151" i="1"/>
  <c r="N151" i="1" s="1"/>
  <c r="M151" i="1"/>
  <c r="O151" i="1" s="1"/>
  <c r="L152" i="1"/>
  <c r="N152" i="1" s="1"/>
  <c r="M152" i="1"/>
  <c r="O152" i="1" s="1"/>
  <c r="L153" i="1"/>
  <c r="N153" i="1" s="1"/>
  <c r="M153" i="1"/>
  <c r="O153" i="1" s="1"/>
  <c r="P153" i="1"/>
  <c r="Q153" i="1"/>
  <c r="L154" i="1"/>
  <c r="N154" i="1" s="1"/>
  <c r="M154" i="1"/>
  <c r="O154" i="1" s="1"/>
  <c r="L155" i="1"/>
  <c r="N155" i="1" s="1"/>
  <c r="M155" i="1"/>
  <c r="O155" i="1" s="1"/>
  <c r="Q155" i="1"/>
  <c r="L156" i="1"/>
  <c r="N156" i="1" s="1"/>
  <c r="M156" i="1"/>
  <c r="O156" i="1" s="1"/>
  <c r="L157" i="1"/>
  <c r="N157" i="1" s="1"/>
  <c r="M157" i="1"/>
  <c r="O157" i="1" s="1"/>
  <c r="L158" i="1"/>
  <c r="N158" i="1" s="1"/>
  <c r="M158" i="1"/>
  <c r="O158" i="1" s="1"/>
  <c r="L159" i="1"/>
  <c r="N159" i="1" s="1"/>
  <c r="M159" i="1"/>
  <c r="O159" i="1" s="1"/>
  <c r="L160" i="1"/>
  <c r="N160" i="1" s="1"/>
  <c r="M160" i="1"/>
  <c r="O160" i="1" s="1"/>
  <c r="P160" i="1"/>
  <c r="L161" i="1"/>
  <c r="N161" i="1" s="1"/>
  <c r="M161" i="1"/>
  <c r="O161" i="1" s="1"/>
  <c r="L3" i="1"/>
  <c r="N3" i="1" s="1"/>
  <c r="M3" i="1"/>
  <c r="O3" i="1" s="1"/>
  <c r="L4" i="1"/>
  <c r="N4" i="1" s="1"/>
  <c r="M4" i="1"/>
  <c r="O4" i="1" s="1"/>
  <c r="L5" i="1"/>
  <c r="M5" i="1"/>
  <c r="Q5" i="1" s="1"/>
  <c r="N5" i="1"/>
  <c r="P5" i="1"/>
  <c r="L6" i="1"/>
  <c r="N6" i="1" s="1"/>
  <c r="M6" i="1"/>
  <c r="O6" i="1" s="1"/>
  <c r="L7" i="1"/>
  <c r="N7" i="1" s="1"/>
  <c r="M7" i="1"/>
  <c r="O7" i="1" s="1"/>
  <c r="L8" i="1"/>
  <c r="N8" i="1" s="1"/>
  <c r="M8" i="1"/>
  <c r="Q8" i="1" s="1"/>
  <c r="O8" i="1"/>
  <c r="M2" i="1"/>
  <c r="Q2" i="1" s="1"/>
  <c r="L2" i="1"/>
  <c r="P2" i="1" s="1"/>
  <c r="P155" i="1" l="1"/>
  <c r="P115" i="1"/>
  <c r="P63" i="1"/>
  <c r="Q35" i="1"/>
  <c r="P114" i="1"/>
  <c r="Q105" i="1"/>
  <c r="Q79" i="1"/>
  <c r="P75" i="1"/>
  <c r="Q48" i="1"/>
  <c r="P140" i="1"/>
  <c r="P105" i="1"/>
  <c r="P79" i="1"/>
  <c r="P48" i="1"/>
  <c r="P134" i="1"/>
  <c r="Q125" i="1"/>
  <c r="Q99" i="1"/>
  <c r="Q64" i="1"/>
  <c r="Q23" i="1"/>
  <c r="P99" i="1"/>
  <c r="P55" i="1"/>
  <c r="P23" i="1"/>
  <c r="Q7" i="1"/>
  <c r="Q3" i="1"/>
  <c r="Q145" i="1"/>
  <c r="Q128" i="1"/>
  <c r="P124" i="1"/>
  <c r="P103" i="1"/>
  <c r="P78" i="1"/>
  <c r="P74" i="1"/>
  <c r="P39" i="1"/>
  <c r="P13" i="1"/>
  <c r="N2" i="1"/>
  <c r="Q149" i="1"/>
  <c r="P145" i="1"/>
  <c r="P128" i="1"/>
  <c r="Q43" i="1"/>
  <c r="Q30" i="1"/>
  <c r="Q60" i="1"/>
  <c r="P123" i="1"/>
  <c r="P89" i="1"/>
  <c r="P38" i="1"/>
  <c r="O2" i="1"/>
  <c r="P144" i="1"/>
  <c r="P110" i="1"/>
  <c r="Q93" i="1"/>
  <c r="Q55" i="1"/>
  <c r="Q159" i="1"/>
  <c r="P83" i="1"/>
  <c r="P40" i="1"/>
  <c r="P159" i="1"/>
  <c r="Q95" i="1"/>
  <c r="P53" i="1"/>
  <c r="P44" i="1"/>
  <c r="Q45" i="1"/>
  <c r="Q25" i="1"/>
  <c r="Q138" i="1"/>
  <c r="Q134" i="1"/>
  <c r="Q130" i="1"/>
  <c r="P88" i="1"/>
  <c r="P84" i="1"/>
  <c r="P80" i="1"/>
  <c r="Q53" i="1"/>
  <c r="P49" i="1"/>
  <c r="P45" i="1"/>
  <c r="Q33" i="1"/>
  <c r="P29" i="1"/>
  <c r="P25" i="1"/>
  <c r="Q160" i="1"/>
  <c r="Q118" i="1"/>
  <c r="Q114" i="1"/>
  <c r="P68" i="1"/>
  <c r="P64" i="1"/>
  <c r="P60" i="1"/>
  <c r="Q40" i="1"/>
  <c r="Q20" i="1"/>
  <c r="O5" i="1"/>
  <c r="Q110" i="1"/>
  <c r="P133" i="1"/>
  <c r="P129" i="1"/>
  <c r="P125" i="1"/>
  <c r="Q98" i="1"/>
  <c r="Q94" i="1"/>
  <c r="Q90" i="1"/>
  <c r="Q148" i="1"/>
  <c r="Q144" i="1"/>
  <c r="Q140" i="1"/>
  <c r="P98" i="1"/>
  <c r="P94" i="1"/>
  <c r="P90" i="1"/>
  <c r="Q6" i="1"/>
  <c r="P143" i="1"/>
  <c r="P139" i="1"/>
  <c r="P135" i="1"/>
  <c r="Q108" i="1"/>
  <c r="Q104" i="1"/>
  <c r="Q100" i="1"/>
  <c r="Q58" i="1"/>
  <c r="P54" i="1"/>
  <c r="P50" i="1"/>
  <c r="Q38" i="1"/>
  <c r="P34" i="1"/>
  <c r="P30" i="1"/>
  <c r="Q18" i="1"/>
  <c r="P14" i="1"/>
  <c r="P10" i="1"/>
  <c r="P6" i="1"/>
  <c r="Q158" i="1"/>
  <c r="Q154" i="1"/>
  <c r="Q150" i="1"/>
  <c r="P108" i="1"/>
  <c r="P58" i="1"/>
  <c r="P18" i="1"/>
  <c r="P150" i="1"/>
  <c r="P158" i="1"/>
  <c r="P154" i="1"/>
  <c r="Q73" i="1"/>
  <c r="Q69" i="1"/>
  <c r="Q65" i="1"/>
  <c r="Q123" i="1"/>
  <c r="Q119" i="1"/>
  <c r="Q115" i="1"/>
  <c r="P73" i="1"/>
  <c r="P69" i="1"/>
  <c r="P65" i="1"/>
  <c r="Q157" i="1"/>
  <c r="Q152" i="1"/>
  <c r="Q147" i="1"/>
  <c r="Q142" i="1"/>
  <c r="Q137" i="1"/>
  <c r="Q132" i="1"/>
  <c r="Q127" i="1"/>
  <c r="Q122" i="1"/>
  <c r="Q117" i="1"/>
  <c r="Q112" i="1"/>
  <c r="Q107" i="1"/>
  <c r="Q102" i="1"/>
  <c r="Q97" i="1"/>
  <c r="Q92" i="1"/>
  <c r="Q87" i="1"/>
  <c r="Q82" i="1"/>
  <c r="Q77" i="1"/>
  <c r="Q72" i="1"/>
  <c r="Q67" i="1"/>
  <c r="Q62" i="1"/>
  <c r="Q57" i="1"/>
  <c r="Q52" i="1"/>
  <c r="Q47" i="1"/>
  <c r="Q42" i="1"/>
  <c r="Q37" i="1"/>
  <c r="Q32" i="1"/>
  <c r="Q27" i="1"/>
  <c r="Q22" i="1"/>
  <c r="Q17" i="1"/>
  <c r="Q12" i="1"/>
  <c r="P157" i="1"/>
  <c r="P152" i="1"/>
  <c r="P147" i="1"/>
  <c r="P142" i="1"/>
  <c r="P137" i="1"/>
  <c r="P132" i="1"/>
  <c r="P127" i="1"/>
  <c r="P122" i="1"/>
  <c r="P117" i="1"/>
  <c r="P112" i="1"/>
  <c r="P107" i="1"/>
  <c r="P102" i="1"/>
  <c r="P97" i="1"/>
  <c r="P92" i="1"/>
  <c r="P87" i="1"/>
  <c r="P82" i="1"/>
  <c r="P77" i="1"/>
  <c r="P72" i="1"/>
  <c r="P67" i="1"/>
  <c r="P62" i="1"/>
  <c r="P57" i="1"/>
  <c r="P52" i="1"/>
  <c r="P47" i="1"/>
  <c r="P42" i="1"/>
  <c r="P37" i="1"/>
  <c r="P32" i="1"/>
  <c r="P27" i="1"/>
  <c r="P22" i="1"/>
  <c r="P17" i="1"/>
  <c r="P12" i="1"/>
  <c r="Q109" i="1"/>
  <c r="Q54" i="1"/>
  <c r="Q49" i="1"/>
  <c r="Q44" i="1"/>
  <c r="Q39" i="1"/>
  <c r="Q34" i="1"/>
  <c r="Q29" i="1"/>
  <c r="Q24" i="1"/>
  <c r="Q14" i="1"/>
  <c r="Q9" i="1"/>
  <c r="Q116" i="1"/>
  <c r="Q111" i="1"/>
  <c r="Q96" i="1"/>
  <c r="Q91" i="1"/>
  <c r="Q86" i="1"/>
  <c r="Q81" i="1"/>
  <c r="Q76" i="1"/>
  <c r="Q71" i="1"/>
  <c r="Q66" i="1"/>
  <c r="Q61" i="1"/>
  <c r="Q56" i="1"/>
  <c r="Q51" i="1"/>
  <c r="Q46" i="1"/>
  <c r="Q41" i="1"/>
  <c r="Q36" i="1"/>
  <c r="Q31" i="1"/>
  <c r="Q26" i="1"/>
  <c r="Q21" i="1"/>
  <c r="Q16" i="1"/>
  <c r="Q11" i="1"/>
  <c r="Q161" i="1"/>
  <c r="Q101" i="1"/>
  <c r="P161" i="1"/>
  <c r="P156" i="1"/>
  <c r="P136" i="1"/>
  <c r="P131" i="1"/>
  <c r="P126" i="1"/>
  <c r="P121" i="1"/>
  <c r="P116" i="1"/>
  <c r="P111" i="1"/>
  <c r="P106" i="1"/>
  <c r="P101" i="1"/>
  <c r="P96" i="1"/>
  <c r="P91" i="1"/>
  <c r="P86" i="1"/>
  <c r="P81" i="1"/>
  <c r="P76" i="1"/>
  <c r="P71" i="1"/>
  <c r="P66" i="1"/>
  <c r="P61" i="1"/>
  <c r="P56" i="1"/>
  <c r="P51" i="1"/>
  <c r="P46" i="1"/>
  <c r="P41" i="1"/>
  <c r="P36" i="1"/>
  <c r="P31" i="1"/>
  <c r="P21" i="1"/>
  <c r="P16" i="1"/>
  <c r="P11" i="1"/>
  <c r="Q156" i="1"/>
  <c r="Q151" i="1"/>
  <c r="Q141" i="1"/>
  <c r="Q131" i="1"/>
  <c r="Q121" i="1"/>
  <c r="Q106" i="1"/>
  <c r="O146" i="1"/>
  <c r="O136" i="1"/>
  <c r="Q126" i="1"/>
  <c r="P151" i="1"/>
  <c r="P146" i="1"/>
  <c r="P141" i="1"/>
  <c r="P7" i="1"/>
  <c r="Q4" i="1"/>
  <c r="P4" i="1"/>
  <c r="P8" i="1"/>
  <c r="P3" i="1"/>
</calcChain>
</file>

<file path=xl/sharedStrings.xml><?xml version="1.0" encoding="utf-8"?>
<sst xmlns="http://schemas.openxmlformats.org/spreadsheetml/2006/main" count="339" uniqueCount="87">
  <si>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</si>
  <si>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</si>
  <si>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</si>
  <si>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</si>
  <si>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</si>
  <si>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</si>
  <si>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</si>
  <si>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</si>
  <si>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</si>
  <si>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</si>
  <si>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</si>
  <si>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</si>
  <si>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</si>
  <si>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</si>
  <si>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</si>
  <si>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</si>
  <si>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</si>
  <si>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</si>
  <si>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</si>
  <si>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</si>
  <si>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</si>
  <si>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</si>
  <si>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</si>
  <si>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</si>
  <si>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</si>
  <si>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</si>
  <si>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</si>
  <si>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</si>
  <si>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</si>
  <si>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</si>
  <si>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</si>
  <si>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</si>
  <si>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</si>
  <si>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</si>
  <si>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</si>
  <si>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</si>
  <si>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</si>
  <si>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</si>
  <si>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</si>
  <si>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</si>
  <si>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trial</t>
  </si>
  <si>
    <t>stimulus</t>
  </si>
  <si>
    <t>animal</t>
  </si>
  <si>
    <t>img_size_x</t>
  </si>
  <si>
    <t>img_size_y</t>
  </si>
  <si>
    <t>screen_size_x</t>
  </si>
  <si>
    <t>screen_size_y</t>
  </si>
  <si>
    <t>tigre</t>
  </si>
  <si>
    <t>perico</t>
  </si>
  <si>
    <t>oso polar</t>
  </si>
  <si>
    <t>caballo</t>
  </si>
  <si>
    <t>rana</t>
  </si>
  <si>
    <t>erizo</t>
  </si>
  <si>
    <t>águila</t>
  </si>
  <si>
    <t>jirafa</t>
  </si>
  <si>
    <t>tortuga</t>
  </si>
  <si>
    <t>panda</t>
  </si>
  <si>
    <t>ardilla</t>
  </si>
  <si>
    <t>pingüino</t>
  </si>
  <si>
    <t>zebra</t>
  </si>
  <si>
    <t>puma</t>
  </si>
  <si>
    <t>lobo</t>
  </si>
  <si>
    <t>delfín</t>
  </si>
  <si>
    <t>zorro</t>
  </si>
  <si>
    <t>leon</t>
  </si>
  <si>
    <t>oso hormiguero</t>
  </si>
  <si>
    <t>víbora</t>
  </si>
  <si>
    <t>león</t>
  </si>
  <si>
    <t>venado</t>
  </si>
  <si>
    <t>colibrí</t>
  </si>
  <si>
    <t>conejo</t>
  </si>
  <si>
    <t>camello</t>
  </si>
  <si>
    <t>elefante</t>
  </si>
  <si>
    <t>mono</t>
  </si>
  <si>
    <t>ave</t>
  </si>
  <si>
    <t>caracol</t>
  </si>
  <si>
    <t>x_center</t>
  </si>
  <si>
    <t>y_center</t>
  </si>
  <si>
    <t>img_x_center</t>
  </si>
  <si>
    <t>img_y_center</t>
  </si>
  <si>
    <t>gp_x_center</t>
  </si>
  <si>
    <t>gp_y_center</t>
  </si>
  <si>
    <t>gp_topleftcorner_x</t>
  </si>
  <si>
    <t>gp_topleftcorner_y</t>
  </si>
  <si>
    <t>gp_bottomrightcorner_x</t>
  </si>
  <si>
    <t>gp_bottomrightcorner_y</t>
  </si>
  <si>
    <t>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</si>
</sst>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2DF7-BE3F-4427-81BB-D0A5CC8BA539}">
  <dimension ref="A1:Q162"/>
  <sheetViews>
    <sheetView tabSelected="1" zoomScale="115" zoomScaleNormal="115" workbookViewId="0">
      <pane xSplit="3" ySplit="1" topLeftCell="D131" activePane="bottomRight" state="frozen"/>
      <selection pane="topRight" activeCell="D1" sqref="D1"/>
      <selection pane="bottomLeft" activeCell="A2" sqref="A2"/>
      <selection pane="bottomRight" activeCell="Q163" sqref="Q163"/>
    </sheetView>
  </sheetViews>
  <sheetFormatPr defaultRowHeight="15" x14ac:dyDescent="0.25"/>
  <cols>
    <col min="1" max="1" width="5.140625" bestFit="1" customWidth="1"/>
    <col min="2" max="2" width="8.140625" bestFit="1" customWidth="1"/>
    <col min="3" max="3" width="14" bestFit="1" customWidth="1"/>
    <col min="4" max="5" width="9.140625" bestFit="1" customWidth="1"/>
    <col min="6" max="7" width="9.5703125" bestFit="1" customWidth="1"/>
    <col min="8" max="9" width="12.28515625" bestFit="1" customWidth="1"/>
    <col min="10" max="11" width="11.5703125" bestFit="1" customWidth="1"/>
    <col min="12" max="13" width="12.85546875" bestFit="1" customWidth="1"/>
    <col min="14" max="15" width="16.140625" bestFit="1" customWidth="1"/>
    <col min="16" max="17" width="20.5703125" bestFit="1" customWidth="1"/>
  </cols>
  <sheetData>
    <row r="1" spans="1:17" x14ac:dyDescent="0.25">
      <c r="A1" t="s">
        <v>40</v>
      </c>
      <c r="B1" t="s">
        <v>41</v>
      </c>
      <c r="C1" t="s">
        <v>42</v>
      </c>
      <c r="D1" t="s">
        <v>76</v>
      </c>
      <c r="E1" t="s">
        <v>77</v>
      </c>
      <c r="F1" t="s">
        <v>43</v>
      </c>
      <c r="G1" t="s">
        <v>44</v>
      </c>
      <c r="H1" t="s">
        <v>45</v>
      </c>
      <c r="I1" t="s">
        <v>46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</row>
    <row r="2" spans="1:17" x14ac:dyDescent="0.25">
      <c r="A2" t="s">
        <v>0</v>
      </c>
      <c r="B2">
        <v>1</v>
      </c>
      <c r="C2" t="s">
        <v>48</v>
      </c>
      <c r="D2">
        <v>118</v>
      </c>
      <c r="E2">
        <v>204.928</v>
      </c>
      <c r="F2">
        <v>713</v>
      </c>
      <c r="G2">
        <v>648</v>
      </c>
      <c r="H2">
        <v>1920</v>
      </c>
      <c r="I2">
        <v>1080</v>
      </c>
      <c r="J2">
        <f xml:space="preserve"> F2/2 + D2</f>
        <v>474.5</v>
      </c>
      <c r="K2">
        <f xml:space="preserve"> G2/2 - E2</f>
        <v>119.072</v>
      </c>
      <c r="L2" s="1">
        <f>((D2/F2)*(0.8*I2))/H2 + 0.5</f>
        <v>0.57447405329593271</v>
      </c>
      <c r="M2" s="1">
        <f>((-E2/G2)*(0.8*I2))/I2 + 0.5</f>
        <v>0.24700246913580243</v>
      </c>
      <c r="N2" s="1">
        <f>L2 - (65/H2)</f>
        <v>0.54061988662926608</v>
      </c>
      <c r="O2" s="1">
        <f>M2- (70/I2)</f>
        <v>0.1821876543209876</v>
      </c>
      <c r="P2" s="1">
        <f>L2 + (65/H2)</f>
        <v>0.60832821996259934</v>
      </c>
      <c r="Q2" s="1">
        <f>M2 + (70/I2)</f>
        <v>0.31181728395061725</v>
      </c>
    </row>
    <row r="3" spans="1:17" x14ac:dyDescent="0.25">
      <c r="A3" t="s">
        <v>0</v>
      </c>
      <c r="B3">
        <v>2</v>
      </c>
      <c r="C3" t="s">
        <v>47</v>
      </c>
      <c r="D3">
        <v>-12.571999999999999</v>
      </c>
      <c r="E3">
        <v>124.929</v>
      </c>
      <c r="F3">
        <v>713</v>
      </c>
      <c r="G3">
        <v>648</v>
      </c>
      <c r="H3">
        <v>1920</v>
      </c>
      <c r="I3">
        <v>1080</v>
      </c>
      <c r="J3">
        <f t="shared" ref="J3:J12" si="0" xml:space="preserve"> F3/2 + D3</f>
        <v>343.928</v>
      </c>
      <c r="K3">
        <f t="shared" ref="K3:K12" si="1" xml:space="preserve"> G3/2 - E3</f>
        <v>199.071</v>
      </c>
      <c r="L3" s="1">
        <f t="shared" ref="L3:L9" si="2">((D3/F3)*(0.8*I3))/H3 + 0.5</f>
        <v>0.49206535764375875</v>
      </c>
      <c r="M3" s="1">
        <f t="shared" ref="M3:M9" si="3">((-E3/G3)*(0.8*I3))/I3 + 0.5</f>
        <v>0.34576666666666667</v>
      </c>
      <c r="N3" s="1">
        <f t="shared" ref="N3:N9" si="4">L3 - (65/H3)</f>
        <v>0.45821119097709206</v>
      </c>
      <c r="O3" s="1">
        <f t="shared" ref="O3:O9" si="5">M3- (70/I3)</f>
        <v>0.28095185185185184</v>
      </c>
      <c r="P3" s="1">
        <f t="shared" ref="P3:P9" si="6">L3 + (65/H3)</f>
        <v>0.52591952431042543</v>
      </c>
      <c r="Q3" s="1">
        <f t="shared" ref="Q3:Q9" si="7">M3 + (70/I3)</f>
        <v>0.41058148148148149</v>
      </c>
    </row>
    <row r="4" spans="1:17" x14ac:dyDescent="0.25">
      <c r="A4" t="s">
        <v>0</v>
      </c>
      <c r="B4">
        <v>3</v>
      </c>
      <c r="C4" t="s">
        <v>49</v>
      </c>
      <c r="D4">
        <v>120.285</v>
      </c>
      <c r="E4">
        <v>42.643000000000001</v>
      </c>
      <c r="F4">
        <v>713</v>
      </c>
      <c r="G4">
        <v>648</v>
      </c>
      <c r="H4">
        <v>1920</v>
      </c>
      <c r="I4">
        <v>1080</v>
      </c>
      <c r="J4">
        <f t="shared" si="0"/>
        <v>476.78499999999997</v>
      </c>
      <c r="K4">
        <f t="shared" si="1"/>
        <v>281.35699999999997</v>
      </c>
      <c r="L4" s="1">
        <f t="shared" si="2"/>
        <v>0.57591619915848524</v>
      </c>
      <c r="M4" s="1">
        <f t="shared" si="3"/>
        <v>0.44735432098765432</v>
      </c>
      <c r="N4" s="1">
        <f t="shared" si="4"/>
        <v>0.54206203249181861</v>
      </c>
      <c r="O4" s="1">
        <f t="shared" si="5"/>
        <v>0.38253950617283949</v>
      </c>
      <c r="P4" s="1">
        <f t="shared" si="6"/>
        <v>0.60977036582515187</v>
      </c>
      <c r="Q4" s="1">
        <f t="shared" si="7"/>
        <v>0.51216913580246914</v>
      </c>
    </row>
    <row r="5" spans="1:17" x14ac:dyDescent="0.25">
      <c r="A5" t="s">
        <v>0</v>
      </c>
      <c r="B5">
        <v>4</v>
      </c>
      <c r="C5" t="s">
        <v>50</v>
      </c>
      <c r="D5">
        <v>242.285</v>
      </c>
      <c r="E5">
        <v>-110.214</v>
      </c>
      <c r="F5">
        <v>713</v>
      </c>
      <c r="G5">
        <v>648</v>
      </c>
      <c r="H5">
        <v>1920</v>
      </c>
      <c r="I5">
        <v>1080</v>
      </c>
      <c r="J5">
        <f t="shared" si="0"/>
        <v>598.78499999999997</v>
      </c>
      <c r="K5">
        <f t="shared" si="1"/>
        <v>434.214</v>
      </c>
      <c r="L5" s="1">
        <f t="shared" si="2"/>
        <v>0.65291479663394103</v>
      </c>
      <c r="M5" s="1">
        <f t="shared" si="3"/>
        <v>0.63606666666666667</v>
      </c>
      <c r="N5" s="1">
        <f t="shared" si="4"/>
        <v>0.6190606299672744</v>
      </c>
      <c r="O5" s="1">
        <f t="shared" si="5"/>
        <v>0.5712518518518519</v>
      </c>
      <c r="P5" s="1">
        <f t="shared" si="6"/>
        <v>0.68676896330060766</v>
      </c>
      <c r="Q5" s="1">
        <f t="shared" si="7"/>
        <v>0.70088148148148144</v>
      </c>
    </row>
    <row r="6" spans="1:17" x14ac:dyDescent="0.25">
      <c r="A6" t="s">
        <v>1</v>
      </c>
      <c r="B6">
        <v>1</v>
      </c>
      <c r="C6" t="s">
        <v>51</v>
      </c>
      <c r="D6">
        <v>-76.286000000000001</v>
      </c>
      <c r="E6">
        <v>202.643</v>
      </c>
      <c r="F6">
        <v>713</v>
      </c>
      <c r="G6">
        <v>648</v>
      </c>
      <c r="H6">
        <v>1920</v>
      </c>
      <c r="I6">
        <v>1080</v>
      </c>
      <c r="J6">
        <f t="shared" si="0"/>
        <v>280.214</v>
      </c>
      <c r="K6">
        <f t="shared" si="1"/>
        <v>121.357</v>
      </c>
      <c r="L6" s="1">
        <f t="shared" si="2"/>
        <v>0.45185315568022438</v>
      </c>
      <c r="M6" s="1">
        <f t="shared" si="3"/>
        <v>0.24982345679012347</v>
      </c>
      <c r="N6" s="1">
        <f t="shared" si="4"/>
        <v>0.4179989890135577</v>
      </c>
      <c r="O6" s="1">
        <f t="shared" si="5"/>
        <v>0.18500864197530864</v>
      </c>
      <c r="P6" s="1">
        <f t="shared" si="6"/>
        <v>0.48570732234689107</v>
      </c>
      <c r="Q6" s="1">
        <f t="shared" si="7"/>
        <v>0.31463827160493829</v>
      </c>
    </row>
    <row r="7" spans="1:17" x14ac:dyDescent="0.25">
      <c r="A7" t="s">
        <v>1</v>
      </c>
      <c r="B7">
        <v>2</v>
      </c>
      <c r="C7" t="s">
        <v>50</v>
      </c>
      <c r="D7">
        <v>181.714</v>
      </c>
      <c r="E7">
        <v>127.5</v>
      </c>
      <c r="F7">
        <v>713</v>
      </c>
      <c r="G7">
        <v>648</v>
      </c>
      <c r="H7">
        <v>1920</v>
      </c>
      <c r="I7">
        <v>1080</v>
      </c>
      <c r="J7">
        <f t="shared" si="0"/>
        <v>538.21399999999994</v>
      </c>
      <c r="K7">
        <f t="shared" si="1"/>
        <v>196.5</v>
      </c>
      <c r="L7" s="1">
        <f t="shared" si="2"/>
        <v>0.61468625525946707</v>
      </c>
      <c r="M7" s="1">
        <f t="shared" si="3"/>
        <v>0.34259259259259256</v>
      </c>
      <c r="N7" s="1">
        <f t="shared" si="4"/>
        <v>0.58083208859280044</v>
      </c>
      <c r="O7" s="1">
        <f t="shared" si="5"/>
        <v>0.27777777777777773</v>
      </c>
      <c r="P7" s="1">
        <f t="shared" si="6"/>
        <v>0.6485404219261337</v>
      </c>
      <c r="Q7" s="1">
        <f t="shared" si="7"/>
        <v>0.40740740740740738</v>
      </c>
    </row>
    <row r="8" spans="1:17" x14ac:dyDescent="0.25">
      <c r="A8" t="s">
        <v>1</v>
      </c>
      <c r="B8">
        <v>3</v>
      </c>
      <c r="C8" t="s">
        <v>52</v>
      </c>
      <c r="D8">
        <v>54.284999999999997</v>
      </c>
      <c r="E8">
        <v>44.643000000000001</v>
      </c>
      <c r="F8">
        <v>713</v>
      </c>
      <c r="G8">
        <v>648</v>
      </c>
      <c r="H8">
        <v>1920</v>
      </c>
      <c r="I8">
        <v>1080</v>
      </c>
      <c r="J8">
        <f t="shared" si="0"/>
        <v>410.78499999999997</v>
      </c>
      <c r="K8">
        <f t="shared" si="1"/>
        <v>279.35699999999997</v>
      </c>
      <c r="L8" s="1">
        <f t="shared" si="2"/>
        <v>0.53426122019635347</v>
      </c>
      <c r="M8" s="1">
        <f t="shared" si="3"/>
        <v>0.44488518518518516</v>
      </c>
      <c r="N8" s="1">
        <f t="shared" si="4"/>
        <v>0.50040705352968684</v>
      </c>
      <c r="O8" s="1">
        <f t="shared" si="5"/>
        <v>0.38007037037037034</v>
      </c>
      <c r="P8" s="1">
        <f t="shared" si="6"/>
        <v>0.5681153868630201</v>
      </c>
      <c r="Q8" s="1">
        <f t="shared" si="7"/>
        <v>0.50969999999999993</v>
      </c>
    </row>
    <row r="9" spans="1:17" x14ac:dyDescent="0.25">
      <c r="A9" t="s">
        <v>1</v>
      </c>
      <c r="B9">
        <v>4</v>
      </c>
      <c r="C9" t="s">
        <v>47</v>
      </c>
      <c r="D9">
        <v>54.284999999999997</v>
      </c>
      <c r="E9">
        <v>-108.786</v>
      </c>
      <c r="F9">
        <v>713</v>
      </c>
      <c r="G9">
        <v>648</v>
      </c>
      <c r="H9">
        <v>1920</v>
      </c>
      <c r="I9">
        <v>1080</v>
      </c>
      <c r="J9">
        <f t="shared" si="0"/>
        <v>410.78499999999997</v>
      </c>
      <c r="K9">
        <f t="shared" si="1"/>
        <v>432.786</v>
      </c>
      <c r="L9" s="1">
        <f t="shared" si="2"/>
        <v>0.53426122019635347</v>
      </c>
      <c r="M9" s="1">
        <f t="shared" si="3"/>
        <v>0.6343037037037037</v>
      </c>
      <c r="N9" s="1">
        <f t="shared" si="4"/>
        <v>0.50040705352968684</v>
      </c>
      <c r="O9" s="1">
        <f t="shared" si="5"/>
        <v>0.56948888888888893</v>
      </c>
      <c r="P9" s="1">
        <f t="shared" si="6"/>
        <v>0.5681153868630201</v>
      </c>
      <c r="Q9" s="1">
        <f t="shared" si="7"/>
        <v>0.69911851851851847</v>
      </c>
    </row>
    <row r="10" spans="1:17" x14ac:dyDescent="0.25">
      <c r="A10" t="s">
        <v>2</v>
      </c>
      <c r="B10">
        <v>1</v>
      </c>
      <c r="C10" t="s">
        <v>53</v>
      </c>
      <c r="D10">
        <v>-69.143000000000001</v>
      </c>
      <c r="E10">
        <v>206.929</v>
      </c>
      <c r="F10">
        <v>713</v>
      </c>
      <c r="G10">
        <v>648</v>
      </c>
      <c r="H10">
        <v>1920</v>
      </c>
      <c r="I10">
        <v>1080</v>
      </c>
      <c r="J10">
        <f t="shared" si="0"/>
        <v>287.35699999999997</v>
      </c>
      <c r="K10">
        <f t="shared" si="1"/>
        <v>117.071</v>
      </c>
      <c r="L10" s="1">
        <f t="shared" ref="L10:L73" si="8">((D10/F10)*(0.8*I10))/H10 + 0.5</f>
        <v>0.45636136044880787</v>
      </c>
      <c r="M10" s="1">
        <f t="shared" ref="M10:M73" si="9">((-E10/G10)*(0.8*I10))/I10 + 0.5</f>
        <v>0.24453209876543214</v>
      </c>
      <c r="N10" s="1">
        <f t="shared" ref="N10:N73" si="10">L10 - (65/H10)</f>
        <v>0.42250719378214119</v>
      </c>
      <c r="O10" s="1">
        <f t="shared" ref="O10:O73" si="11">M10- (70/I10)</f>
        <v>0.17971728395061731</v>
      </c>
      <c r="P10" s="1">
        <f t="shared" ref="P10:P73" si="12">L10 + (65/H10)</f>
        <v>0.49021552711547456</v>
      </c>
      <c r="Q10" s="1">
        <f t="shared" ref="Q10:Q73" si="13">M10 + (70/I10)</f>
        <v>0.30934691358024696</v>
      </c>
    </row>
    <row r="11" spans="1:17" x14ac:dyDescent="0.25">
      <c r="A11" t="s">
        <v>2</v>
      </c>
      <c r="B11">
        <v>2</v>
      </c>
      <c r="C11" t="s">
        <v>54</v>
      </c>
      <c r="D11">
        <v>248</v>
      </c>
      <c r="E11">
        <v>206.929</v>
      </c>
      <c r="F11">
        <v>713</v>
      </c>
      <c r="G11">
        <v>648</v>
      </c>
      <c r="H11">
        <v>1920</v>
      </c>
      <c r="I11">
        <v>1080</v>
      </c>
      <c r="J11">
        <f t="shared" si="0"/>
        <v>604.5</v>
      </c>
      <c r="K11">
        <f t="shared" si="1"/>
        <v>117.071</v>
      </c>
      <c r="L11" s="1">
        <f t="shared" si="8"/>
        <v>0.65652173913043477</v>
      </c>
      <c r="M11" s="1">
        <f t="shared" si="9"/>
        <v>0.24453209876543214</v>
      </c>
      <c r="N11" s="1">
        <f t="shared" si="10"/>
        <v>0.62266757246376814</v>
      </c>
      <c r="O11" s="1">
        <f t="shared" si="11"/>
        <v>0.17971728395061731</v>
      </c>
      <c r="P11" s="1">
        <f t="shared" si="12"/>
        <v>0.6903759057971014</v>
      </c>
      <c r="Q11" s="1">
        <f t="shared" si="13"/>
        <v>0.30934691358024696</v>
      </c>
    </row>
    <row r="12" spans="1:17" x14ac:dyDescent="0.25">
      <c r="A12" t="s">
        <v>2</v>
      </c>
      <c r="B12">
        <v>3</v>
      </c>
      <c r="C12" t="s">
        <v>55</v>
      </c>
      <c r="D12">
        <v>122.285</v>
      </c>
      <c r="E12">
        <v>44.070999999999998</v>
      </c>
      <c r="F12">
        <v>713</v>
      </c>
      <c r="G12">
        <v>648</v>
      </c>
      <c r="H12">
        <v>1920</v>
      </c>
      <c r="I12">
        <v>1080</v>
      </c>
      <c r="J12">
        <f t="shared" si="0"/>
        <v>478.78499999999997</v>
      </c>
      <c r="K12">
        <f t="shared" si="1"/>
        <v>279.92899999999997</v>
      </c>
      <c r="L12" s="1">
        <f t="shared" si="8"/>
        <v>0.57717847124824684</v>
      </c>
      <c r="M12" s="1">
        <f t="shared" si="9"/>
        <v>0.44559135802469135</v>
      </c>
      <c r="N12" s="1">
        <f t="shared" si="10"/>
        <v>0.54332430458158021</v>
      </c>
      <c r="O12" s="1">
        <f t="shared" si="11"/>
        <v>0.38077654320987653</v>
      </c>
      <c r="P12" s="1">
        <f t="shared" si="12"/>
        <v>0.61103263791491347</v>
      </c>
      <c r="Q12" s="1">
        <f t="shared" si="13"/>
        <v>0.51040617283950618</v>
      </c>
    </row>
    <row r="13" spans="1:17" x14ac:dyDescent="0.25">
      <c r="A13" t="s">
        <v>2</v>
      </c>
      <c r="B13">
        <v>4</v>
      </c>
      <c r="C13" t="s">
        <v>56</v>
      </c>
      <c r="D13">
        <v>122.285</v>
      </c>
      <c r="E13">
        <v>-109.215</v>
      </c>
      <c r="F13">
        <v>713</v>
      </c>
      <c r="G13">
        <v>648</v>
      </c>
      <c r="H13">
        <v>1920</v>
      </c>
      <c r="I13">
        <v>1080</v>
      </c>
      <c r="J13">
        <f t="shared" ref="J13:J76" si="14" xml:space="preserve"> F13/2 + D13</f>
        <v>478.78499999999997</v>
      </c>
      <c r="K13">
        <f t="shared" ref="K13:K76" si="15" xml:space="preserve"> G13/2 - E13</f>
        <v>433.21500000000003</v>
      </c>
      <c r="L13" s="1">
        <f t="shared" si="8"/>
        <v>0.57717847124824684</v>
      </c>
      <c r="M13" s="1">
        <f t="shared" si="9"/>
        <v>0.63483333333333336</v>
      </c>
      <c r="N13" s="1">
        <f t="shared" si="10"/>
        <v>0.54332430458158021</v>
      </c>
      <c r="O13" s="1">
        <f t="shared" si="11"/>
        <v>0.57001851851851859</v>
      </c>
      <c r="P13" s="1">
        <f t="shared" si="12"/>
        <v>0.61103263791491347</v>
      </c>
      <c r="Q13" s="1">
        <f t="shared" si="13"/>
        <v>0.69964814814814813</v>
      </c>
    </row>
    <row r="14" spans="1:17" x14ac:dyDescent="0.25">
      <c r="A14" t="s">
        <v>3</v>
      </c>
      <c r="B14">
        <v>1</v>
      </c>
      <c r="C14" t="s">
        <v>57</v>
      </c>
      <c r="D14">
        <v>-194.857</v>
      </c>
      <c r="E14">
        <v>199.786</v>
      </c>
      <c r="F14">
        <v>713</v>
      </c>
      <c r="G14">
        <v>648</v>
      </c>
      <c r="H14">
        <v>1920</v>
      </c>
      <c r="I14">
        <v>1080</v>
      </c>
      <c r="J14">
        <f t="shared" si="14"/>
        <v>161.643</v>
      </c>
      <c r="K14">
        <f t="shared" si="15"/>
        <v>124.214</v>
      </c>
      <c r="L14" s="1">
        <f t="shared" si="8"/>
        <v>0.37701872370266476</v>
      </c>
      <c r="M14" s="1">
        <f t="shared" si="9"/>
        <v>0.25335061728395064</v>
      </c>
      <c r="N14" s="1">
        <f t="shared" si="10"/>
        <v>0.34316455703599807</v>
      </c>
      <c r="O14" s="1">
        <f t="shared" si="11"/>
        <v>0.18853580246913582</v>
      </c>
      <c r="P14" s="1">
        <f t="shared" si="12"/>
        <v>0.41087289036933144</v>
      </c>
      <c r="Q14" s="1">
        <f t="shared" si="13"/>
        <v>0.31816543209876547</v>
      </c>
    </row>
    <row r="15" spans="1:17" x14ac:dyDescent="0.25">
      <c r="A15" t="s">
        <v>3</v>
      </c>
      <c r="B15">
        <v>2</v>
      </c>
      <c r="C15" t="s">
        <v>52</v>
      </c>
      <c r="D15">
        <v>119.428</v>
      </c>
      <c r="E15">
        <v>126.929</v>
      </c>
      <c r="F15">
        <v>713</v>
      </c>
      <c r="G15">
        <v>648</v>
      </c>
      <c r="H15">
        <v>1920</v>
      </c>
      <c r="I15">
        <v>1080</v>
      </c>
      <c r="J15">
        <f t="shared" si="14"/>
        <v>475.928</v>
      </c>
      <c r="K15">
        <f t="shared" si="15"/>
        <v>197.071</v>
      </c>
      <c r="L15" s="1">
        <f t="shared" si="8"/>
        <v>0.57537531556802246</v>
      </c>
      <c r="M15" s="1">
        <f t="shared" si="9"/>
        <v>0.34329753086419751</v>
      </c>
      <c r="N15" s="1">
        <f t="shared" si="10"/>
        <v>0.54152114890135583</v>
      </c>
      <c r="O15" s="1">
        <f t="shared" si="11"/>
        <v>0.27848271604938268</v>
      </c>
      <c r="P15" s="1">
        <f t="shared" si="12"/>
        <v>0.60922948223468909</v>
      </c>
      <c r="Q15" s="1">
        <f t="shared" si="13"/>
        <v>0.40811234567901233</v>
      </c>
    </row>
    <row r="16" spans="1:17" x14ac:dyDescent="0.25">
      <c r="A16" t="s">
        <v>3</v>
      </c>
      <c r="B16">
        <v>3</v>
      </c>
      <c r="C16" t="s">
        <v>51</v>
      </c>
      <c r="D16">
        <v>-74.856999999999999</v>
      </c>
      <c r="E16">
        <v>-29.643000000000001</v>
      </c>
      <c r="F16">
        <v>713</v>
      </c>
      <c r="G16">
        <v>648</v>
      </c>
      <c r="H16">
        <v>1920</v>
      </c>
      <c r="I16">
        <v>1080</v>
      </c>
      <c r="J16">
        <f t="shared" si="14"/>
        <v>281.64300000000003</v>
      </c>
      <c r="K16">
        <f t="shared" si="15"/>
        <v>353.64300000000003</v>
      </c>
      <c r="L16" s="1">
        <f t="shared" si="8"/>
        <v>0.45275504908835906</v>
      </c>
      <c r="M16" s="1">
        <f t="shared" si="9"/>
        <v>0.53659629629629635</v>
      </c>
      <c r="N16" s="1">
        <f t="shared" si="10"/>
        <v>0.41890088242169238</v>
      </c>
      <c r="O16" s="1">
        <f t="shared" si="11"/>
        <v>0.47178148148148152</v>
      </c>
      <c r="P16" s="1">
        <f t="shared" si="12"/>
        <v>0.48660921575502575</v>
      </c>
      <c r="Q16" s="1">
        <f t="shared" si="13"/>
        <v>0.60141111111111112</v>
      </c>
    </row>
    <row r="17" spans="1:17" x14ac:dyDescent="0.25">
      <c r="A17" t="s">
        <v>3</v>
      </c>
      <c r="B17">
        <v>4</v>
      </c>
      <c r="C17" t="s">
        <v>58</v>
      </c>
      <c r="D17">
        <v>122.428</v>
      </c>
      <c r="E17">
        <v>-108.786</v>
      </c>
      <c r="F17">
        <v>713</v>
      </c>
      <c r="G17">
        <v>648</v>
      </c>
      <c r="H17">
        <v>1920</v>
      </c>
      <c r="I17">
        <v>1080</v>
      </c>
      <c r="J17">
        <f t="shared" si="14"/>
        <v>478.928</v>
      </c>
      <c r="K17">
        <f t="shared" si="15"/>
        <v>432.786</v>
      </c>
      <c r="L17" s="1">
        <f t="shared" si="8"/>
        <v>0.5772687237026648</v>
      </c>
      <c r="M17" s="1">
        <f t="shared" si="9"/>
        <v>0.6343037037037037</v>
      </c>
      <c r="N17" s="1">
        <f t="shared" si="10"/>
        <v>0.54341455703599817</v>
      </c>
      <c r="O17" s="1">
        <f t="shared" si="11"/>
        <v>0.56948888888888893</v>
      </c>
      <c r="P17" s="1">
        <f t="shared" si="12"/>
        <v>0.61112289036933143</v>
      </c>
      <c r="Q17" s="1">
        <f t="shared" si="13"/>
        <v>0.69911851851851847</v>
      </c>
    </row>
    <row r="18" spans="1:17" x14ac:dyDescent="0.25">
      <c r="A18" t="s">
        <v>4</v>
      </c>
      <c r="B18">
        <v>1</v>
      </c>
      <c r="C18" t="s">
        <v>49</v>
      </c>
      <c r="D18">
        <v>-307.714</v>
      </c>
      <c r="E18">
        <v>125.5</v>
      </c>
      <c r="F18">
        <v>713</v>
      </c>
      <c r="G18">
        <v>648</v>
      </c>
      <c r="H18">
        <v>1920</v>
      </c>
      <c r="I18">
        <v>1080</v>
      </c>
      <c r="J18">
        <f t="shared" si="14"/>
        <v>48.786000000000001</v>
      </c>
      <c r="K18">
        <f t="shared" si="15"/>
        <v>198.5</v>
      </c>
      <c r="L18" s="1">
        <f t="shared" si="8"/>
        <v>0.305790603085554</v>
      </c>
      <c r="M18" s="1">
        <f t="shared" si="9"/>
        <v>0.34506172839506172</v>
      </c>
      <c r="N18" s="1">
        <f t="shared" si="10"/>
        <v>0.27193643641888732</v>
      </c>
      <c r="O18" s="1">
        <f t="shared" si="11"/>
        <v>0.28024691358024689</v>
      </c>
      <c r="P18" s="1">
        <f t="shared" si="12"/>
        <v>0.33964476975222069</v>
      </c>
      <c r="Q18" s="1">
        <f t="shared" si="13"/>
        <v>0.40987654320987654</v>
      </c>
    </row>
    <row r="19" spans="1:17" x14ac:dyDescent="0.25">
      <c r="A19" t="s">
        <v>4</v>
      </c>
      <c r="B19">
        <v>2</v>
      </c>
      <c r="C19" t="s">
        <v>47</v>
      </c>
      <c r="D19">
        <v>-71.143000000000001</v>
      </c>
      <c r="E19">
        <v>125.5</v>
      </c>
      <c r="F19">
        <v>713</v>
      </c>
      <c r="G19">
        <v>648</v>
      </c>
      <c r="H19">
        <v>1920</v>
      </c>
      <c r="I19">
        <v>1080</v>
      </c>
      <c r="J19">
        <f t="shared" si="14"/>
        <v>285.35699999999997</v>
      </c>
      <c r="K19">
        <f t="shared" si="15"/>
        <v>198.5</v>
      </c>
      <c r="L19" s="1">
        <f t="shared" si="8"/>
        <v>0.45509908835904628</v>
      </c>
      <c r="M19" s="1">
        <f t="shared" si="9"/>
        <v>0.34506172839506172</v>
      </c>
      <c r="N19" s="1">
        <f t="shared" si="10"/>
        <v>0.42124492169237959</v>
      </c>
      <c r="O19" s="1">
        <f t="shared" si="11"/>
        <v>0.28024691358024689</v>
      </c>
      <c r="P19" s="1">
        <f t="shared" si="12"/>
        <v>0.48895325502571296</v>
      </c>
      <c r="Q19" s="1">
        <f>M19 + (70/I19)</f>
        <v>0.40987654320987654</v>
      </c>
    </row>
    <row r="20" spans="1:17" x14ac:dyDescent="0.25">
      <c r="A20" t="s">
        <v>4</v>
      </c>
      <c r="B20">
        <v>3</v>
      </c>
      <c r="C20" t="s">
        <v>48</v>
      </c>
      <c r="D20">
        <v>182.285</v>
      </c>
      <c r="E20">
        <v>-35.643000000000001</v>
      </c>
      <c r="F20">
        <v>713</v>
      </c>
      <c r="G20">
        <v>648</v>
      </c>
      <c r="H20">
        <v>1920</v>
      </c>
      <c r="I20">
        <v>1080</v>
      </c>
      <c r="J20">
        <f t="shared" si="14"/>
        <v>538.78499999999997</v>
      </c>
      <c r="K20">
        <f t="shared" si="15"/>
        <v>359.64300000000003</v>
      </c>
      <c r="L20" s="1">
        <f t="shared" si="8"/>
        <v>0.61504663394109393</v>
      </c>
      <c r="M20" s="1">
        <f t="shared" si="9"/>
        <v>0.54400370370370366</v>
      </c>
      <c r="N20" s="1">
        <f t="shared" si="10"/>
        <v>0.5811924672744273</v>
      </c>
      <c r="O20" s="1">
        <f t="shared" si="11"/>
        <v>0.47918888888888883</v>
      </c>
      <c r="P20" s="1">
        <f t="shared" si="12"/>
        <v>0.64890080060776056</v>
      </c>
      <c r="Q20" s="1">
        <f t="shared" si="13"/>
        <v>0.60881851851851843</v>
      </c>
    </row>
    <row r="21" spans="1:17" x14ac:dyDescent="0.25">
      <c r="A21" t="s">
        <v>4</v>
      </c>
      <c r="B21">
        <v>4</v>
      </c>
      <c r="C21" t="s">
        <v>50</v>
      </c>
      <c r="D21">
        <v>-71.143000000000001</v>
      </c>
      <c r="E21">
        <v>-108.786</v>
      </c>
      <c r="F21">
        <v>713</v>
      </c>
      <c r="G21">
        <v>648</v>
      </c>
      <c r="H21">
        <v>1920</v>
      </c>
      <c r="I21">
        <v>1080</v>
      </c>
      <c r="J21">
        <f t="shared" si="14"/>
        <v>285.35699999999997</v>
      </c>
      <c r="K21">
        <f t="shared" si="15"/>
        <v>432.786</v>
      </c>
      <c r="L21" s="1">
        <f t="shared" si="8"/>
        <v>0.45509908835904628</v>
      </c>
      <c r="M21" s="1">
        <f t="shared" si="9"/>
        <v>0.6343037037037037</v>
      </c>
      <c r="N21" s="1">
        <f t="shared" si="10"/>
        <v>0.42124492169237959</v>
      </c>
      <c r="O21" s="1">
        <f t="shared" si="11"/>
        <v>0.56948888888888893</v>
      </c>
      <c r="P21" s="1">
        <f t="shared" si="12"/>
        <v>0.48895325502571296</v>
      </c>
      <c r="Q21" s="1">
        <f t="shared" si="13"/>
        <v>0.69911851851851847</v>
      </c>
    </row>
    <row r="22" spans="1:17" x14ac:dyDescent="0.25">
      <c r="A22" t="s">
        <v>5</v>
      </c>
      <c r="B22">
        <v>1</v>
      </c>
      <c r="C22" t="s">
        <v>59</v>
      </c>
      <c r="D22">
        <v>-198.286</v>
      </c>
      <c r="E22">
        <v>206.929</v>
      </c>
      <c r="F22">
        <v>713</v>
      </c>
      <c r="G22">
        <v>648</v>
      </c>
      <c r="H22">
        <v>1920</v>
      </c>
      <c r="I22">
        <v>1080</v>
      </c>
      <c r="J22">
        <f t="shared" si="14"/>
        <v>158.214</v>
      </c>
      <c r="K22">
        <f t="shared" si="15"/>
        <v>117.071</v>
      </c>
      <c r="L22" s="1">
        <f t="shared" si="8"/>
        <v>0.37485455820476854</v>
      </c>
      <c r="M22" s="1">
        <f t="shared" si="9"/>
        <v>0.24453209876543214</v>
      </c>
      <c r="N22" s="1">
        <f t="shared" si="10"/>
        <v>0.34100039153810185</v>
      </c>
      <c r="O22" s="1">
        <f t="shared" si="11"/>
        <v>0.17971728395061731</v>
      </c>
      <c r="P22" s="1">
        <f t="shared" si="12"/>
        <v>0.40870872487143523</v>
      </c>
      <c r="Q22" s="1">
        <f t="shared" si="13"/>
        <v>0.30934691358024696</v>
      </c>
    </row>
    <row r="23" spans="1:17" x14ac:dyDescent="0.25">
      <c r="A23" t="s">
        <v>5</v>
      </c>
      <c r="B23">
        <v>2</v>
      </c>
      <c r="C23" t="s">
        <v>60</v>
      </c>
      <c r="D23">
        <v>-74.856999999999999</v>
      </c>
      <c r="E23">
        <v>45.929000000000002</v>
      </c>
      <c r="F23">
        <v>713</v>
      </c>
      <c r="G23">
        <v>648</v>
      </c>
      <c r="H23">
        <v>1920</v>
      </c>
      <c r="I23">
        <v>1080</v>
      </c>
      <c r="J23">
        <f t="shared" si="14"/>
        <v>281.64300000000003</v>
      </c>
      <c r="K23">
        <f t="shared" si="15"/>
        <v>278.07100000000003</v>
      </c>
      <c r="L23" s="1">
        <f t="shared" si="8"/>
        <v>0.45275504908835906</v>
      </c>
      <c r="M23" s="1">
        <f t="shared" si="9"/>
        <v>0.44329753086419754</v>
      </c>
      <c r="N23" s="1">
        <f t="shared" si="10"/>
        <v>0.41890088242169238</v>
      </c>
      <c r="O23" s="1">
        <f t="shared" si="11"/>
        <v>0.37848271604938272</v>
      </c>
      <c r="P23" s="1">
        <f t="shared" si="12"/>
        <v>0.48660921575502575</v>
      </c>
      <c r="Q23" s="1">
        <f t="shared" si="13"/>
        <v>0.50811234567901231</v>
      </c>
    </row>
    <row r="24" spans="1:17" x14ac:dyDescent="0.25">
      <c r="A24" t="s">
        <v>5</v>
      </c>
      <c r="B24">
        <v>3</v>
      </c>
      <c r="C24" t="s">
        <v>61</v>
      </c>
      <c r="D24">
        <v>182.857</v>
      </c>
      <c r="E24">
        <v>42.643000000000001</v>
      </c>
      <c r="F24">
        <v>713</v>
      </c>
      <c r="G24">
        <v>648</v>
      </c>
      <c r="H24">
        <v>1920</v>
      </c>
      <c r="I24">
        <v>1080</v>
      </c>
      <c r="J24">
        <f t="shared" si="14"/>
        <v>539.35699999999997</v>
      </c>
      <c r="K24">
        <f t="shared" si="15"/>
        <v>281.35699999999997</v>
      </c>
      <c r="L24" s="1">
        <f t="shared" si="8"/>
        <v>0.61540764375876578</v>
      </c>
      <c r="M24" s="1">
        <f t="shared" si="9"/>
        <v>0.44735432098765432</v>
      </c>
      <c r="N24" s="1">
        <f t="shared" si="10"/>
        <v>0.58155347709209915</v>
      </c>
      <c r="O24" s="1">
        <f t="shared" si="11"/>
        <v>0.38253950617283949</v>
      </c>
      <c r="P24" s="1">
        <f t="shared" si="12"/>
        <v>0.64926181042543241</v>
      </c>
      <c r="Q24" s="1">
        <f t="shared" si="13"/>
        <v>0.51216913580246914</v>
      </c>
    </row>
    <row r="25" spans="1:17" x14ac:dyDescent="0.25">
      <c r="A25" t="s">
        <v>5</v>
      </c>
      <c r="B25">
        <v>4</v>
      </c>
      <c r="C25" t="s">
        <v>62</v>
      </c>
      <c r="D25">
        <v>54.284999999999997</v>
      </c>
      <c r="E25">
        <v>-107.929</v>
      </c>
      <c r="F25">
        <v>713</v>
      </c>
      <c r="G25">
        <v>648</v>
      </c>
      <c r="H25">
        <v>1920</v>
      </c>
      <c r="I25">
        <v>1080</v>
      </c>
      <c r="J25">
        <f t="shared" si="14"/>
        <v>410.78499999999997</v>
      </c>
      <c r="K25">
        <f t="shared" si="15"/>
        <v>431.92899999999997</v>
      </c>
      <c r="L25" s="1">
        <f t="shared" si="8"/>
        <v>0.53426122019635347</v>
      </c>
      <c r="M25" s="1">
        <f t="shared" si="9"/>
        <v>0.63324567901234563</v>
      </c>
      <c r="N25" s="1">
        <f t="shared" si="10"/>
        <v>0.50040705352968684</v>
      </c>
      <c r="O25" s="1">
        <f t="shared" si="11"/>
        <v>0.56843086419753086</v>
      </c>
      <c r="P25" s="1">
        <f t="shared" si="12"/>
        <v>0.5681153868630201</v>
      </c>
      <c r="Q25" s="1">
        <f t="shared" si="13"/>
        <v>0.6980604938271604</v>
      </c>
    </row>
    <row r="26" spans="1:17" x14ac:dyDescent="0.25">
      <c r="A26" t="s">
        <v>6</v>
      </c>
      <c r="B26">
        <v>1</v>
      </c>
      <c r="C26" t="s">
        <v>63</v>
      </c>
      <c r="D26">
        <v>-12</v>
      </c>
      <c r="E26">
        <v>125.5</v>
      </c>
      <c r="F26">
        <v>713</v>
      </c>
      <c r="G26">
        <v>648</v>
      </c>
      <c r="H26">
        <v>1920</v>
      </c>
      <c r="I26">
        <v>1080</v>
      </c>
      <c r="J26">
        <f t="shared" si="14"/>
        <v>344.5</v>
      </c>
      <c r="K26">
        <f t="shared" si="15"/>
        <v>198.5</v>
      </c>
      <c r="L26" s="1">
        <f t="shared" si="8"/>
        <v>0.49242636746143059</v>
      </c>
      <c r="M26" s="1">
        <f t="shared" si="9"/>
        <v>0.34506172839506172</v>
      </c>
      <c r="N26" s="1">
        <f t="shared" si="10"/>
        <v>0.45857220079476391</v>
      </c>
      <c r="O26" s="1">
        <f t="shared" si="11"/>
        <v>0.28024691358024689</v>
      </c>
      <c r="P26" s="1">
        <f>L26 + (65/H26)</f>
        <v>0.52628053412809728</v>
      </c>
      <c r="Q26" s="1">
        <f t="shared" si="13"/>
        <v>0.40987654320987654</v>
      </c>
    </row>
    <row r="27" spans="1:17" x14ac:dyDescent="0.25">
      <c r="A27" t="s">
        <v>6</v>
      </c>
      <c r="B27">
        <v>2</v>
      </c>
      <c r="C27" t="s">
        <v>64</v>
      </c>
      <c r="D27">
        <v>246.571</v>
      </c>
      <c r="E27">
        <v>125.5</v>
      </c>
      <c r="F27">
        <v>713</v>
      </c>
      <c r="G27">
        <v>648</v>
      </c>
      <c r="H27">
        <v>1920</v>
      </c>
      <c r="I27">
        <v>1080</v>
      </c>
      <c r="J27">
        <f t="shared" si="14"/>
        <v>603.07100000000003</v>
      </c>
      <c r="K27">
        <f t="shared" si="15"/>
        <v>198.5</v>
      </c>
      <c r="L27" s="1">
        <f t="shared" si="8"/>
        <v>0.65561984572230014</v>
      </c>
      <c r="M27" s="1">
        <f t="shared" si="9"/>
        <v>0.34506172839506172</v>
      </c>
      <c r="N27" s="1">
        <f t="shared" si="10"/>
        <v>0.62176567905563351</v>
      </c>
      <c r="O27" s="1">
        <f t="shared" si="11"/>
        <v>0.28024691358024689</v>
      </c>
      <c r="P27" s="1">
        <f t="shared" si="12"/>
        <v>0.68947401238896677</v>
      </c>
      <c r="Q27" s="1">
        <f t="shared" si="13"/>
        <v>0.40987654320987654</v>
      </c>
    </row>
    <row r="28" spans="1:17" x14ac:dyDescent="0.25">
      <c r="A28" t="s">
        <v>6</v>
      </c>
      <c r="B28">
        <v>3</v>
      </c>
      <c r="C28" t="s">
        <v>49</v>
      </c>
      <c r="D28">
        <v>246.571</v>
      </c>
      <c r="E28">
        <v>-36.786000000000001</v>
      </c>
      <c r="F28">
        <v>713</v>
      </c>
      <c r="G28">
        <v>648</v>
      </c>
      <c r="H28">
        <v>1920</v>
      </c>
      <c r="I28">
        <v>1080</v>
      </c>
      <c r="J28">
        <f t="shared" si="14"/>
        <v>603.07100000000003</v>
      </c>
      <c r="K28">
        <f t="shared" si="15"/>
        <v>360.786</v>
      </c>
      <c r="L28" s="1">
        <f t="shared" si="8"/>
        <v>0.65561984572230014</v>
      </c>
      <c r="M28" s="1">
        <f t="shared" si="9"/>
        <v>0.5454148148148148</v>
      </c>
      <c r="N28" s="1">
        <f t="shared" si="10"/>
        <v>0.62176567905563351</v>
      </c>
      <c r="O28" s="1">
        <f t="shared" si="11"/>
        <v>0.48059999999999997</v>
      </c>
      <c r="P28" s="1">
        <f t="shared" si="12"/>
        <v>0.68947401238896677</v>
      </c>
      <c r="Q28" s="1">
        <f t="shared" si="13"/>
        <v>0.61022962962962957</v>
      </c>
    </row>
    <row r="29" spans="1:17" x14ac:dyDescent="0.25">
      <c r="A29" t="s">
        <v>6</v>
      </c>
      <c r="B29">
        <v>4</v>
      </c>
      <c r="C29" t="s">
        <v>65</v>
      </c>
      <c r="D29">
        <v>-12</v>
      </c>
      <c r="E29">
        <v>-110.214</v>
      </c>
      <c r="F29">
        <v>713</v>
      </c>
      <c r="G29">
        <v>648</v>
      </c>
      <c r="H29">
        <v>1920</v>
      </c>
      <c r="I29">
        <v>1080</v>
      </c>
      <c r="J29">
        <f t="shared" si="14"/>
        <v>344.5</v>
      </c>
      <c r="K29">
        <f t="shared" si="15"/>
        <v>434.214</v>
      </c>
      <c r="L29" s="1">
        <f t="shared" si="8"/>
        <v>0.49242636746143059</v>
      </c>
      <c r="M29" s="1">
        <f t="shared" si="9"/>
        <v>0.63606666666666667</v>
      </c>
      <c r="N29" s="1">
        <f t="shared" si="10"/>
        <v>0.45857220079476391</v>
      </c>
      <c r="O29" s="1">
        <f t="shared" si="11"/>
        <v>0.5712518518518519</v>
      </c>
      <c r="P29" s="1">
        <f t="shared" si="12"/>
        <v>0.52628053412809728</v>
      </c>
      <c r="Q29" s="1">
        <f t="shared" si="13"/>
        <v>0.70088148148148144</v>
      </c>
    </row>
    <row r="30" spans="1:17" x14ac:dyDescent="0.25">
      <c r="A30" t="s">
        <v>7</v>
      </c>
      <c r="B30">
        <v>1</v>
      </c>
      <c r="C30" t="s">
        <v>53</v>
      </c>
      <c r="D30">
        <v>-69.143000000000001</v>
      </c>
      <c r="E30">
        <v>206.929</v>
      </c>
      <c r="F30">
        <v>713</v>
      </c>
      <c r="G30">
        <v>648</v>
      </c>
      <c r="H30">
        <v>1920</v>
      </c>
      <c r="I30">
        <v>1080</v>
      </c>
      <c r="J30">
        <f t="shared" si="14"/>
        <v>287.35699999999997</v>
      </c>
      <c r="K30">
        <f t="shared" si="15"/>
        <v>117.071</v>
      </c>
      <c r="L30" s="1">
        <f t="shared" si="8"/>
        <v>0.45636136044880787</v>
      </c>
      <c r="M30" s="1">
        <f t="shared" si="9"/>
        <v>0.24453209876543214</v>
      </c>
      <c r="N30" s="1">
        <f t="shared" si="10"/>
        <v>0.42250719378214119</v>
      </c>
      <c r="O30" s="1">
        <f t="shared" si="11"/>
        <v>0.17971728395061731</v>
      </c>
      <c r="P30" s="1">
        <f t="shared" si="12"/>
        <v>0.49021552711547456</v>
      </c>
      <c r="Q30" s="1">
        <f t="shared" si="13"/>
        <v>0.30934691358024696</v>
      </c>
    </row>
    <row r="31" spans="1:17" x14ac:dyDescent="0.25">
      <c r="A31" t="s">
        <v>7</v>
      </c>
      <c r="B31">
        <v>2</v>
      </c>
      <c r="C31" t="s">
        <v>54</v>
      </c>
      <c r="D31">
        <v>248</v>
      </c>
      <c r="E31">
        <v>206.929</v>
      </c>
      <c r="F31">
        <v>713</v>
      </c>
      <c r="G31">
        <v>648</v>
      </c>
      <c r="H31">
        <v>1920</v>
      </c>
      <c r="I31">
        <v>1080</v>
      </c>
      <c r="J31">
        <f t="shared" si="14"/>
        <v>604.5</v>
      </c>
      <c r="K31">
        <f t="shared" si="15"/>
        <v>117.071</v>
      </c>
      <c r="L31" s="1">
        <f t="shared" si="8"/>
        <v>0.65652173913043477</v>
      </c>
      <c r="M31" s="1">
        <f t="shared" si="9"/>
        <v>0.24453209876543214</v>
      </c>
      <c r="N31" s="1">
        <f t="shared" si="10"/>
        <v>0.62266757246376814</v>
      </c>
      <c r="O31" s="1">
        <f t="shared" si="11"/>
        <v>0.17971728395061731</v>
      </c>
      <c r="P31" s="1">
        <f t="shared" si="12"/>
        <v>0.6903759057971014</v>
      </c>
      <c r="Q31" s="1">
        <f t="shared" si="13"/>
        <v>0.30934691358024696</v>
      </c>
    </row>
    <row r="32" spans="1:17" x14ac:dyDescent="0.25">
      <c r="A32" t="s">
        <v>7</v>
      </c>
      <c r="B32">
        <v>3</v>
      </c>
      <c r="C32" t="s">
        <v>55</v>
      </c>
      <c r="D32">
        <v>122.285</v>
      </c>
      <c r="E32">
        <v>44.070999999999998</v>
      </c>
      <c r="F32">
        <v>713</v>
      </c>
      <c r="G32">
        <v>648</v>
      </c>
      <c r="H32">
        <v>1920</v>
      </c>
      <c r="I32">
        <v>1080</v>
      </c>
      <c r="J32">
        <f t="shared" si="14"/>
        <v>478.78499999999997</v>
      </c>
      <c r="K32">
        <f t="shared" si="15"/>
        <v>279.92899999999997</v>
      </c>
      <c r="L32" s="1">
        <f t="shared" si="8"/>
        <v>0.57717847124824684</v>
      </c>
      <c r="M32" s="1">
        <f t="shared" si="9"/>
        <v>0.44559135802469135</v>
      </c>
      <c r="N32" s="1">
        <f t="shared" si="10"/>
        <v>0.54332430458158021</v>
      </c>
      <c r="O32" s="1">
        <f t="shared" si="11"/>
        <v>0.38077654320987653</v>
      </c>
      <c r="P32" s="1">
        <f t="shared" si="12"/>
        <v>0.61103263791491347</v>
      </c>
      <c r="Q32" s="1">
        <f t="shared" si="13"/>
        <v>0.51040617283950618</v>
      </c>
    </row>
    <row r="33" spans="1:17" x14ac:dyDescent="0.25">
      <c r="A33" t="s">
        <v>7</v>
      </c>
      <c r="B33">
        <v>4</v>
      </c>
      <c r="C33" t="s">
        <v>56</v>
      </c>
      <c r="D33">
        <v>122.285</v>
      </c>
      <c r="E33">
        <v>-109.215</v>
      </c>
      <c r="F33">
        <v>713</v>
      </c>
      <c r="G33">
        <v>648</v>
      </c>
      <c r="H33">
        <v>1920</v>
      </c>
      <c r="I33">
        <v>1080</v>
      </c>
      <c r="J33">
        <f t="shared" si="14"/>
        <v>478.78499999999997</v>
      </c>
      <c r="K33">
        <f t="shared" si="15"/>
        <v>433.21500000000003</v>
      </c>
      <c r="L33" s="1">
        <f t="shared" si="8"/>
        <v>0.57717847124824684</v>
      </c>
      <c r="M33" s="1">
        <f t="shared" si="9"/>
        <v>0.63483333333333336</v>
      </c>
      <c r="N33" s="1">
        <f t="shared" si="10"/>
        <v>0.54332430458158021</v>
      </c>
      <c r="O33" s="1">
        <f t="shared" si="11"/>
        <v>0.57001851851851859</v>
      </c>
      <c r="P33" s="1">
        <f t="shared" si="12"/>
        <v>0.61103263791491347</v>
      </c>
      <c r="Q33" s="1">
        <f t="shared" si="13"/>
        <v>0.69964814814814813</v>
      </c>
    </row>
    <row r="34" spans="1:17" x14ac:dyDescent="0.25">
      <c r="A34" t="s">
        <v>8</v>
      </c>
      <c r="B34">
        <v>1</v>
      </c>
      <c r="C34" t="s">
        <v>59</v>
      </c>
      <c r="D34">
        <v>-133.429</v>
      </c>
      <c r="E34">
        <v>206.357</v>
      </c>
      <c r="F34">
        <v>713</v>
      </c>
      <c r="G34">
        <v>648</v>
      </c>
      <c r="H34">
        <v>1920</v>
      </c>
      <c r="I34">
        <v>1080</v>
      </c>
      <c r="J34">
        <f t="shared" si="14"/>
        <v>223.071</v>
      </c>
      <c r="K34">
        <f t="shared" si="15"/>
        <v>117.643</v>
      </c>
      <c r="L34" s="1">
        <f t="shared" si="8"/>
        <v>0.41578814866760166</v>
      </c>
      <c r="M34" s="1">
        <f t="shared" si="9"/>
        <v>0.24523827160493827</v>
      </c>
      <c r="N34" s="1">
        <f t="shared" si="10"/>
        <v>0.38193398200093498</v>
      </c>
      <c r="O34" s="1">
        <f t="shared" si="11"/>
        <v>0.18042345679012345</v>
      </c>
      <c r="P34" s="1">
        <f t="shared" si="12"/>
        <v>0.44964231533426835</v>
      </c>
      <c r="Q34" s="1">
        <f t="shared" si="13"/>
        <v>0.3100530864197531</v>
      </c>
    </row>
    <row r="35" spans="1:17" x14ac:dyDescent="0.25">
      <c r="A35" t="s">
        <v>8</v>
      </c>
      <c r="B35">
        <v>2</v>
      </c>
      <c r="C35" t="s">
        <v>60</v>
      </c>
      <c r="D35">
        <v>-134.286</v>
      </c>
      <c r="E35">
        <v>42.649000000000001</v>
      </c>
      <c r="F35">
        <v>713</v>
      </c>
      <c r="G35">
        <v>648</v>
      </c>
      <c r="H35">
        <v>1920</v>
      </c>
      <c r="I35">
        <v>1080</v>
      </c>
      <c r="J35">
        <f t="shared" si="14"/>
        <v>222.214</v>
      </c>
      <c r="K35">
        <f t="shared" si="15"/>
        <v>281.351</v>
      </c>
      <c r="L35" s="1">
        <f t="shared" si="8"/>
        <v>0.41524726507713883</v>
      </c>
      <c r="M35" s="1">
        <f t="shared" si="9"/>
        <v>0.44734691358024692</v>
      </c>
      <c r="N35" s="1">
        <f t="shared" si="10"/>
        <v>0.38139309841047214</v>
      </c>
      <c r="O35" s="1">
        <f t="shared" si="11"/>
        <v>0.38253209876543209</v>
      </c>
      <c r="P35" s="1">
        <f t="shared" si="12"/>
        <v>0.44910143174380551</v>
      </c>
      <c r="Q35" s="1">
        <f t="shared" si="13"/>
        <v>0.51216172839506169</v>
      </c>
    </row>
    <row r="36" spans="1:17" x14ac:dyDescent="0.25">
      <c r="A36" t="s">
        <v>8</v>
      </c>
      <c r="B36">
        <v>3</v>
      </c>
      <c r="C36" t="s">
        <v>61</v>
      </c>
      <c r="D36">
        <v>118</v>
      </c>
      <c r="E36">
        <v>42.649000000000001</v>
      </c>
      <c r="F36">
        <v>713</v>
      </c>
      <c r="G36">
        <v>648</v>
      </c>
      <c r="H36">
        <v>1920</v>
      </c>
      <c r="I36">
        <v>1080</v>
      </c>
      <c r="J36">
        <f t="shared" si="14"/>
        <v>474.5</v>
      </c>
      <c r="K36">
        <f t="shared" si="15"/>
        <v>281.351</v>
      </c>
      <c r="L36" s="1">
        <f t="shared" si="8"/>
        <v>0.57447405329593271</v>
      </c>
      <c r="M36" s="1">
        <f t="shared" si="9"/>
        <v>0.44734691358024692</v>
      </c>
      <c r="N36" s="1">
        <f t="shared" si="10"/>
        <v>0.54061988662926608</v>
      </c>
      <c r="O36" s="1">
        <f t="shared" si="11"/>
        <v>0.38253209876543209</v>
      </c>
      <c r="P36" s="1">
        <f t="shared" si="12"/>
        <v>0.60832821996259934</v>
      </c>
      <c r="Q36" s="1">
        <f t="shared" si="13"/>
        <v>0.51216172839506169</v>
      </c>
    </row>
    <row r="37" spans="1:17" x14ac:dyDescent="0.25">
      <c r="A37" t="s">
        <v>8</v>
      </c>
      <c r="B37">
        <v>4</v>
      </c>
      <c r="C37" t="s">
        <v>62</v>
      </c>
      <c r="D37">
        <v>-133.429</v>
      </c>
      <c r="E37">
        <v>-107.929</v>
      </c>
      <c r="F37">
        <v>713</v>
      </c>
      <c r="G37">
        <v>648</v>
      </c>
      <c r="H37">
        <v>1920</v>
      </c>
      <c r="I37">
        <v>1080</v>
      </c>
      <c r="J37">
        <f t="shared" si="14"/>
        <v>223.071</v>
      </c>
      <c r="K37">
        <f t="shared" si="15"/>
        <v>431.92899999999997</v>
      </c>
      <c r="L37" s="1">
        <f t="shared" si="8"/>
        <v>0.41578814866760166</v>
      </c>
      <c r="M37" s="1">
        <f t="shared" si="9"/>
        <v>0.63324567901234563</v>
      </c>
      <c r="N37" s="1">
        <f t="shared" si="10"/>
        <v>0.38193398200093498</v>
      </c>
      <c r="O37" s="1">
        <f t="shared" si="11"/>
        <v>0.56843086419753086</v>
      </c>
      <c r="P37" s="1">
        <f t="shared" si="12"/>
        <v>0.44964231533426835</v>
      </c>
      <c r="Q37" s="1">
        <f t="shared" si="13"/>
        <v>0.6980604938271604</v>
      </c>
    </row>
    <row r="38" spans="1:17" x14ac:dyDescent="0.25">
      <c r="A38" t="s">
        <v>9</v>
      </c>
      <c r="B38">
        <v>1</v>
      </c>
      <c r="C38" t="s">
        <v>59</v>
      </c>
      <c r="D38">
        <v>62.284999999999997</v>
      </c>
      <c r="E38">
        <v>206.071</v>
      </c>
      <c r="F38">
        <v>713</v>
      </c>
      <c r="G38">
        <v>648</v>
      </c>
      <c r="H38">
        <v>1920</v>
      </c>
      <c r="I38">
        <v>1080</v>
      </c>
      <c r="J38">
        <f t="shared" si="14"/>
        <v>418.78499999999997</v>
      </c>
      <c r="K38">
        <f t="shared" si="15"/>
        <v>117.929</v>
      </c>
      <c r="L38" s="1">
        <f t="shared" si="8"/>
        <v>0.53931030855539974</v>
      </c>
      <c r="M38" s="1">
        <f t="shared" si="9"/>
        <v>0.24559135802469134</v>
      </c>
      <c r="N38" s="1">
        <f t="shared" si="10"/>
        <v>0.50545614188873311</v>
      </c>
      <c r="O38" s="1">
        <f t="shared" si="11"/>
        <v>0.18077654320987652</v>
      </c>
      <c r="P38" s="1">
        <f t="shared" si="12"/>
        <v>0.57316447522206637</v>
      </c>
      <c r="Q38" s="1">
        <f t="shared" si="13"/>
        <v>0.31040617283950617</v>
      </c>
    </row>
    <row r="39" spans="1:17" x14ac:dyDescent="0.25">
      <c r="A39" t="s">
        <v>9</v>
      </c>
      <c r="B39">
        <v>2</v>
      </c>
      <c r="C39" t="s">
        <v>66</v>
      </c>
      <c r="D39">
        <v>229.428</v>
      </c>
      <c r="E39">
        <v>206.071</v>
      </c>
      <c r="F39">
        <v>713</v>
      </c>
      <c r="G39">
        <v>648</v>
      </c>
      <c r="H39">
        <v>1920</v>
      </c>
      <c r="I39">
        <v>1080</v>
      </c>
      <c r="J39">
        <f t="shared" si="14"/>
        <v>585.928</v>
      </c>
      <c r="K39">
        <f t="shared" si="15"/>
        <v>117.929</v>
      </c>
      <c r="L39" s="1">
        <f t="shared" si="8"/>
        <v>0.64480028050490878</v>
      </c>
      <c r="M39" s="1">
        <f t="shared" si="9"/>
        <v>0.24559135802469134</v>
      </c>
      <c r="N39" s="1">
        <f t="shared" si="10"/>
        <v>0.61094611383824216</v>
      </c>
      <c r="O39" s="1">
        <f t="shared" si="11"/>
        <v>0.18077654320987652</v>
      </c>
      <c r="P39" s="1">
        <f t="shared" si="12"/>
        <v>0.67865444717157541</v>
      </c>
      <c r="Q39" s="1">
        <f t="shared" si="13"/>
        <v>0.31040617283950617</v>
      </c>
    </row>
    <row r="40" spans="1:17" x14ac:dyDescent="0.25">
      <c r="A40" t="s">
        <v>9</v>
      </c>
      <c r="B40">
        <v>3</v>
      </c>
      <c r="C40" t="s">
        <v>67</v>
      </c>
      <c r="D40">
        <v>-39.143000000000001</v>
      </c>
      <c r="E40">
        <v>126.929</v>
      </c>
      <c r="F40">
        <v>713</v>
      </c>
      <c r="G40">
        <v>648</v>
      </c>
      <c r="H40">
        <v>1920</v>
      </c>
      <c r="I40">
        <v>1080</v>
      </c>
      <c r="J40">
        <f t="shared" si="14"/>
        <v>317.35699999999997</v>
      </c>
      <c r="K40">
        <f t="shared" si="15"/>
        <v>197.071</v>
      </c>
      <c r="L40" s="1">
        <f t="shared" si="8"/>
        <v>0.47529544179523142</v>
      </c>
      <c r="M40" s="1">
        <f t="shared" si="9"/>
        <v>0.34329753086419751</v>
      </c>
      <c r="N40" s="1">
        <f t="shared" si="10"/>
        <v>0.44144127512856474</v>
      </c>
      <c r="O40" s="1">
        <f t="shared" si="11"/>
        <v>0.27848271604938268</v>
      </c>
      <c r="P40" s="1">
        <f t="shared" si="12"/>
        <v>0.50914960846189805</v>
      </c>
      <c r="Q40" s="1">
        <f t="shared" si="13"/>
        <v>0.40811234567901233</v>
      </c>
    </row>
    <row r="41" spans="1:17" x14ac:dyDescent="0.25">
      <c r="A41" t="s">
        <v>9</v>
      </c>
      <c r="B41">
        <v>4</v>
      </c>
      <c r="C41" t="s">
        <v>65</v>
      </c>
      <c r="D41">
        <v>72.284999999999997</v>
      </c>
      <c r="E41">
        <v>-37.356999999999999</v>
      </c>
      <c r="F41">
        <v>713</v>
      </c>
      <c r="G41">
        <v>648</v>
      </c>
      <c r="H41">
        <v>1920</v>
      </c>
      <c r="I41">
        <v>1080</v>
      </c>
      <c r="J41">
        <f t="shared" si="14"/>
        <v>428.78499999999997</v>
      </c>
      <c r="K41">
        <f t="shared" si="15"/>
        <v>361.35699999999997</v>
      </c>
      <c r="L41" s="1">
        <f t="shared" si="8"/>
        <v>0.54562166900420761</v>
      </c>
      <c r="M41" s="1">
        <f t="shared" si="9"/>
        <v>0.5461197530864198</v>
      </c>
      <c r="N41" s="1">
        <f t="shared" si="10"/>
        <v>0.51176750233754098</v>
      </c>
      <c r="O41" s="1">
        <f t="shared" si="11"/>
        <v>0.48130493827160498</v>
      </c>
      <c r="P41" s="1">
        <f t="shared" si="12"/>
        <v>0.57947583567087424</v>
      </c>
      <c r="Q41" s="1">
        <f t="shared" si="13"/>
        <v>0.61093456790123457</v>
      </c>
    </row>
    <row r="42" spans="1:17" x14ac:dyDescent="0.25">
      <c r="A42" t="s">
        <v>10</v>
      </c>
      <c r="B42">
        <v>1</v>
      </c>
      <c r="C42" t="s">
        <v>58</v>
      </c>
      <c r="D42">
        <v>-196.286</v>
      </c>
      <c r="E42">
        <v>206.357</v>
      </c>
      <c r="F42">
        <v>713</v>
      </c>
      <c r="G42">
        <v>648</v>
      </c>
      <c r="H42">
        <v>1920</v>
      </c>
      <c r="I42">
        <v>1080</v>
      </c>
      <c r="J42">
        <f t="shared" si="14"/>
        <v>160.214</v>
      </c>
      <c r="K42">
        <f t="shared" si="15"/>
        <v>117.643</v>
      </c>
      <c r="L42" s="1">
        <f t="shared" si="8"/>
        <v>0.37611683029453014</v>
      </c>
      <c r="M42" s="1">
        <f t="shared" si="9"/>
        <v>0.24523827160493827</v>
      </c>
      <c r="N42" s="1">
        <f t="shared" si="10"/>
        <v>0.34226266362786345</v>
      </c>
      <c r="O42" s="1">
        <f t="shared" si="11"/>
        <v>0.18042345679012345</v>
      </c>
      <c r="P42" s="1">
        <f t="shared" si="12"/>
        <v>0.40997099696119682</v>
      </c>
      <c r="Q42" s="1">
        <f t="shared" si="13"/>
        <v>0.3100530864197531</v>
      </c>
    </row>
    <row r="43" spans="1:17" x14ac:dyDescent="0.25">
      <c r="A43" t="s">
        <v>10</v>
      </c>
      <c r="B43">
        <v>2</v>
      </c>
      <c r="C43" t="s">
        <v>68</v>
      </c>
      <c r="D43">
        <v>245.143</v>
      </c>
      <c r="E43">
        <v>126.929</v>
      </c>
      <c r="F43">
        <v>713</v>
      </c>
      <c r="G43">
        <v>648</v>
      </c>
      <c r="H43">
        <v>1920</v>
      </c>
      <c r="I43">
        <v>1080</v>
      </c>
      <c r="J43">
        <f t="shared" si="14"/>
        <v>601.64300000000003</v>
      </c>
      <c r="K43">
        <f t="shared" si="15"/>
        <v>197.071</v>
      </c>
      <c r="L43" s="1">
        <f t="shared" si="8"/>
        <v>0.65471858345021039</v>
      </c>
      <c r="M43" s="1">
        <f t="shared" si="9"/>
        <v>0.34329753086419751</v>
      </c>
      <c r="N43" s="1">
        <f t="shared" si="10"/>
        <v>0.62086441678354376</v>
      </c>
      <c r="O43" s="1">
        <f t="shared" si="11"/>
        <v>0.27848271604938268</v>
      </c>
      <c r="P43" s="1">
        <f t="shared" si="12"/>
        <v>0.68857275011687702</v>
      </c>
      <c r="Q43" s="1">
        <f t="shared" si="13"/>
        <v>0.40811234567901233</v>
      </c>
    </row>
    <row r="44" spans="1:17" x14ac:dyDescent="0.25">
      <c r="A44" t="s">
        <v>10</v>
      </c>
      <c r="B44">
        <v>3</v>
      </c>
      <c r="C44" t="s">
        <v>48</v>
      </c>
      <c r="D44">
        <v>56.570999999999998</v>
      </c>
      <c r="E44">
        <v>48.957000000000001</v>
      </c>
      <c r="F44">
        <v>713</v>
      </c>
      <c r="G44">
        <v>648</v>
      </c>
      <c r="H44">
        <v>1920</v>
      </c>
      <c r="I44">
        <v>1080</v>
      </c>
      <c r="J44">
        <f t="shared" si="14"/>
        <v>413.07100000000003</v>
      </c>
      <c r="K44">
        <f t="shared" si="15"/>
        <v>275.04300000000001</v>
      </c>
      <c r="L44" s="1">
        <f t="shared" si="8"/>
        <v>0.53570399719495088</v>
      </c>
      <c r="M44" s="1">
        <f t="shared" si="9"/>
        <v>0.43955925925925926</v>
      </c>
      <c r="N44" s="1">
        <f t="shared" si="10"/>
        <v>0.50184983052828425</v>
      </c>
      <c r="O44" s="1">
        <f t="shared" si="11"/>
        <v>0.37474444444444444</v>
      </c>
      <c r="P44" s="1">
        <f t="shared" si="12"/>
        <v>0.56955816386161751</v>
      </c>
      <c r="Q44" s="1">
        <f t="shared" si="13"/>
        <v>0.50437407407407409</v>
      </c>
    </row>
    <row r="45" spans="1:17" x14ac:dyDescent="0.25">
      <c r="A45" t="s">
        <v>10</v>
      </c>
      <c r="B45">
        <v>4</v>
      </c>
      <c r="C45" t="s">
        <v>56</v>
      </c>
      <c r="D45">
        <v>-10.571999999999999</v>
      </c>
      <c r="E45">
        <v>-108.786</v>
      </c>
      <c r="F45">
        <v>713</v>
      </c>
      <c r="G45">
        <v>648</v>
      </c>
      <c r="H45">
        <v>1920</v>
      </c>
      <c r="I45">
        <v>1080</v>
      </c>
      <c r="J45">
        <f t="shared" si="14"/>
        <v>345.928</v>
      </c>
      <c r="K45">
        <f t="shared" si="15"/>
        <v>432.786</v>
      </c>
      <c r="L45" s="1">
        <f t="shared" si="8"/>
        <v>0.49332762973352035</v>
      </c>
      <c r="M45" s="1">
        <f t="shared" si="9"/>
        <v>0.6343037037037037</v>
      </c>
      <c r="N45" s="1">
        <f t="shared" si="10"/>
        <v>0.45947346306685366</v>
      </c>
      <c r="O45" s="1">
        <f t="shared" si="11"/>
        <v>0.56948888888888893</v>
      </c>
      <c r="P45" s="1">
        <f t="shared" si="12"/>
        <v>0.52718179640018703</v>
      </c>
      <c r="Q45" s="1">
        <f t="shared" si="13"/>
        <v>0.69911851851851847</v>
      </c>
    </row>
    <row r="46" spans="1:17" x14ac:dyDescent="0.25">
      <c r="A46" t="s">
        <v>11</v>
      </c>
      <c r="B46">
        <v>1</v>
      </c>
      <c r="C46" t="s">
        <v>67</v>
      </c>
      <c r="D46">
        <v>-8.5709999999999997</v>
      </c>
      <c r="E46">
        <v>206.214</v>
      </c>
      <c r="F46">
        <v>713</v>
      </c>
      <c r="G46">
        <v>648</v>
      </c>
      <c r="H46">
        <v>1920</v>
      </c>
      <c r="I46">
        <v>1080</v>
      </c>
      <c r="J46">
        <f t="shared" si="14"/>
        <v>347.92899999999997</v>
      </c>
      <c r="K46">
        <f t="shared" si="15"/>
        <v>117.786</v>
      </c>
      <c r="L46" s="1">
        <f t="shared" si="8"/>
        <v>0.49459053295932681</v>
      </c>
      <c r="M46" s="1">
        <f t="shared" si="9"/>
        <v>0.24541481481481481</v>
      </c>
      <c r="N46" s="1">
        <f t="shared" si="10"/>
        <v>0.46073636629266013</v>
      </c>
      <c r="O46" s="1">
        <f t="shared" si="11"/>
        <v>0.18059999999999998</v>
      </c>
      <c r="P46" s="1">
        <f t="shared" si="12"/>
        <v>0.5284446996259935</v>
      </c>
      <c r="Q46" s="1">
        <f t="shared" si="13"/>
        <v>0.31022962962962963</v>
      </c>
    </row>
    <row r="47" spans="1:17" x14ac:dyDescent="0.25">
      <c r="A47" t="s">
        <v>11</v>
      </c>
      <c r="B47">
        <v>2</v>
      </c>
      <c r="C47" t="s">
        <v>54</v>
      </c>
      <c r="D47">
        <v>243.714</v>
      </c>
      <c r="E47">
        <v>208.214</v>
      </c>
      <c r="F47">
        <v>713</v>
      </c>
      <c r="G47">
        <v>648</v>
      </c>
      <c r="H47">
        <v>1920</v>
      </c>
      <c r="I47">
        <v>1080</v>
      </c>
      <c r="J47">
        <f t="shared" si="14"/>
        <v>600.21399999999994</v>
      </c>
      <c r="K47">
        <f t="shared" si="15"/>
        <v>115.786</v>
      </c>
      <c r="L47" s="1">
        <f t="shared" si="8"/>
        <v>0.65381669004207577</v>
      </c>
      <c r="M47" s="1">
        <f t="shared" si="9"/>
        <v>0.24294567901234571</v>
      </c>
      <c r="N47" s="1">
        <f t="shared" si="10"/>
        <v>0.61996252337540914</v>
      </c>
      <c r="O47" s="1">
        <f t="shared" si="11"/>
        <v>0.17813086419753088</v>
      </c>
      <c r="P47" s="1">
        <f t="shared" si="12"/>
        <v>0.6876708567087424</v>
      </c>
      <c r="Q47" s="1">
        <f t="shared" si="13"/>
        <v>0.30776049382716053</v>
      </c>
    </row>
    <row r="48" spans="1:17" x14ac:dyDescent="0.25">
      <c r="A48" t="s">
        <v>11</v>
      </c>
      <c r="B48">
        <v>3</v>
      </c>
      <c r="C48" t="s">
        <v>55</v>
      </c>
      <c r="D48">
        <v>118</v>
      </c>
      <c r="E48">
        <v>44.070999999999998</v>
      </c>
      <c r="F48">
        <v>713</v>
      </c>
      <c r="G48">
        <v>648</v>
      </c>
      <c r="H48">
        <v>1920</v>
      </c>
      <c r="I48">
        <v>1080</v>
      </c>
      <c r="J48">
        <f t="shared" si="14"/>
        <v>474.5</v>
      </c>
      <c r="K48">
        <f t="shared" si="15"/>
        <v>279.92899999999997</v>
      </c>
      <c r="L48" s="1">
        <f t="shared" si="8"/>
        <v>0.57447405329593271</v>
      </c>
      <c r="M48" s="1">
        <f t="shared" si="9"/>
        <v>0.44559135802469135</v>
      </c>
      <c r="N48" s="1">
        <f t="shared" si="10"/>
        <v>0.54061988662926608</v>
      </c>
      <c r="O48" s="1">
        <f t="shared" si="11"/>
        <v>0.38077654320987653</v>
      </c>
      <c r="P48" s="1">
        <f t="shared" si="12"/>
        <v>0.60832821996259934</v>
      </c>
      <c r="Q48" s="1">
        <f t="shared" si="13"/>
        <v>0.51040617283950618</v>
      </c>
    </row>
    <row r="49" spans="1:17" x14ac:dyDescent="0.25">
      <c r="A49" t="s">
        <v>11</v>
      </c>
      <c r="B49">
        <v>4</v>
      </c>
      <c r="C49" t="s">
        <v>56</v>
      </c>
      <c r="D49">
        <v>60.430999999999997</v>
      </c>
      <c r="E49">
        <v>-111.10599999999999</v>
      </c>
      <c r="F49">
        <v>713</v>
      </c>
      <c r="G49">
        <v>648</v>
      </c>
      <c r="H49">
        <v>1920</v>
      </c>
      <c r="I49">
        <v>1080</v>
      </c>
      <c r="J49">
        <f t="shared" si="14"/>
        <v>416.93099999999998</v>
      </c>
      <c r="K49">
        <f t="shared" si="15"/>
        <v>435.10599999999999</v>
      </c>
      <c r="L49" s="1">
        <f t="shared" si="8"/>
        <v>0.53814018232819072</v>
      </c>
      <c r="M49" s="1">
        <f t="shared" si="9"/>
        <v>0.6371679012345679</v>
      </c>
      <c r="N49" s="1">
        <f t="shared" si="10"/>
        <v>0.50428601566152409</v>
      </c>
      <c r="O49" s="1">
        <f t="shared" si="11"/>
        <v>0.57235308641975313</v>
      </c>
      <c r="P49" s="1">
        <f t="shared" si="12"/>
        <v>0.57199434899485735</v>
      </c>
      <c r="Q49" s="1">
        <f t="shared" si="13"/>
        <v>0.70198271604938267</v>
      </c>
    </row>
    <row r="50" spans="1:17" x14ac:dyDescent="0.25">
      <c r="A50" s="1" t="s">
        <v>12</v>
      </c>
      <c r="B50" s="1">
        <v>1</v>
      </c>
      <c r="C50" s="1" t="s">
        <v>55</v>
      </c>
      <c r="D50" s="1">
        <v>-136.286</v>
      </c>
      <c r="E50" s="1">
        <v>-108.786</v>
      </c>
      <c r="F50">
        <v>713</v>
      </c>
      <c r="G50">
        <v>648</v>
      </c>
      <c r="H50">
        <v>1920</v>
      </c>
      <c r="I50">
        <v>1080</v>
      </c>
      <c r="J50">
        <f t="shared" si="14"/>
        <v>220.214</v>
      </c>
      <c r="K50">
        <f t="shared" si="15"/>
        <v>432.786</v>
      </c>
      <c r="L50" s="1">
        <f t="shared" si="8"/>
        <v>0.41398499298737729</v>
      </c>
      <c r="M50" s="1">
        <f t="shared" si="9"/>
        <v>0.6343037037037037</v>
      </c>
      <c r="N50" s="1">
        <f t="shared" si="10"/>
        <v>0.3801308263207106</v>
      </c>
      <c r="O50" s="1">
        <f t="shared" si="11"/>
        <v>0.56948888888888893</v>
      </c>
      <c r="P50" s="1">
        <f t="shared" si="12"/>
        <v>0.44783915965404397</v>
      </c>
      <c r="Q50" s="1">
        <f t="shared" si="13"/>
        <v>0.69911851851851847</v>
      </c>
    </row>
    <row r="51" spans="1:17" x14ac:dyDescent="0.25">
      <c r="A51" s="1" t="s">
        <v>12</v>
      </c>
      <c r="B51" s="1">
        <v>2</v>
      </c>
      <c r="C51" s="1" t="s">
        <v>61</v>
      </c>
      <c r="D51" s="1">
        <v>-9.1430000000000007</v>
      </c>
      <c r="E51" s="1">
        <v>-36.5</v>
      </c>
      <c r="F51">
        <v>713</v>
      </c>
      <c r="G51">
        <v>648</v>
      </c>
      <c r="H51">
        <v>1920</v>
      </c>
      <c r="I51">
        <v>1080</v>
      </c>
      <c r="J51">
        <f t="shared" si="14"/>
        <v>347.35699999999997</v>
      </c>
      <c r="K51">
        <f t="shared" si="15"/>
        <v>360.5</v>
      </c>
      <c r="L51" s="1">
        <f t="shared" si="8"/>
        <v>0.49422952314165497</v>
      </c>
      <c r="M51" s="1">
        <f t="shared" si="9"/>
        <v>0.54506172839506173</v>
      </c>
      <c r="N51" s="1">
        <f t="shared" si="10"/>
        <v>0.46037535647498828</v>
      </c>
      <c r="O51" s="1">
        <f t="shared" si="11"/>
        <v>0.4802469135802469</v>
      </c>
      <c r="P51" s="1">
        <f t="shared" si="12"/>
        <v>0.52808368980832165</v>
      </c>
      <c r="Q51" s="1">
        <f t="shared" si="13"/>
        <v>0.6098765432098765</v>
      </c>
    </row>
    <row r="52" spans="1:17" x14ac:dyDescent="0.25">
      <c r="A52" s="1" t="s">
        <v>12</v>
      </c>
      <c r="B52" s="1">
        <v>3</v>
      </c>
      <c r="C52" s="1" t="s">
        <v>60</v>
      </c>
      <c r="D52" s="1">
        <v>118</v>
      </c>
      <c r="E52" s="1">
        <v>-108.786</v>
      </c>
      <c r="F52">
        <v>713</v>
      </c>
      <c r="G52">
        <v>648</v>
      </c>
      <c r="H52">
        <v>1920</v>
      </c>
      <c r="I52">
        <v>1080</v>
      </c>
      <c r="J52">
        <f t="shared" si="14"/>
        <v>474.5</v>
      </c>
      <c r="K52">
        <f t="shared" si="15"/>
        <v>432.786</v>
      </c>
      <c r="L52" s="1">
        <f t="shared" si="8"/>
        <v>0.57447405329593271</v>
      </c>
      <c r="M52" s="1">
        <f t="shared" si="9"/>
        <v>0.6343037037037037</v>
      </c>
      <c r="N52" s="1">
        <f t="shared" si="10"/>
        <v>0.54061988662926608</v>
      </c>
      <c r="O52" s="1">
        <f t="shared" si="11"/>
        <v>0.56948888888888893</v>
      </c>
      <c r="P52" s="1">
        <f t="shared" si="12"/>
        <v>0.60832821996259934</v>
      </c>
      <c r="Q52" s="1">
        <f t="shared" si="13"/>
        <v>0.69911851851851847</v>
      </c>
    </row>
    <row r="53" spans="1:17" x14ac:dyDescent="0.25">
      <c r="A53" s="1" t="s">
        <v>12</v>
      </c>
      <c r="B53" s="1">
        <v>4</v>
      </c>
      <c r="C53" s="1" t="s">
        <v>69</v>
      </c>
      <c r="D53" s="1">
        <v>242.285</v>
      </c>
      <c r="E53" s="1">
        <v>-36.5</v>
      </c>
      <c r="F53">
        <v>713</v>
      </c>
      <c r="G53">
        <v>648</v>
      </c>
      <c r="H53">
        <v>1920</v>
      </c>
      <c r="I53">
        <v>1080</v>
      </c>
      <c r="J53">
        <f t="shared" si="14"/>
        <v>598.78499999999997</v>
      </c>
      <c r="K53">
        <f t="shared" si="15"/>
        <v>360.5</v>
      </c>
      <c r="L53" s="1">
        <f t="shared" si="8"/>
        <v>0.65291479663394103</v>
      </c>
      <c r="M53" s="1">
        <f t="shared" si="9"/>
        <v>0.54506172839506173</v>
      </c>
      <c r="N53" s="1">
        <f t="shared" si="10"/>
        <v>0.6190606299672744</v>
      </c>
      <c r="O53" s="1">
        <f t="shared" si="11"/>
        <v>0.4802469135802469</v>
      </c>
      <c r="P53" s="1">
        <f t="shared" si="12"/>
        <v>0.68676896330060766</v>
      </c>
      <c r="Q53" s="1">
        <f t="shared" si="13"/>
        <v>0.6098765432098765</v>
      </c>
    </row>
    <row r="54" spans="1:17" x14ac:dyDescent="0.25">
      <c r="A54" t="s">
        <v>13</v>
      </c>
      <c r="B54">
        <v>1</v>
      </c>
      <c r="C54" t="s">
        <v>63</v>
      </c>
      <c r="D54">
        <v>-80</v>
      </c>
      <c r="E54">
        <v>206.929</v>
      </c>
      <c r="F54">
        <v>713</v>
      </c>
      <c r="G54">
        <v>648</v>
      </c>
      <c r="H54">
        <v>1920</v>
      </c>
      <c r="I54">
        <v>1080</v>
      </c>
      <c r="J54">
        <f t="shared" si="14"/>
        <v>276.5</v>
      </c>
      <c r="K54">
        <f t="shared" si="15"/>
        <v>117.071</v>
      </c>
      <c r="L54" s="1">
        <f t="shared" si="8"/>
        <v>0.44950911640953717</v>
      </c>
      <c r="M54" s="1">
        <f t="shared" si="9"/>
        <v>0.24453209876543214</v>
      </c>
      <c r="N54" s="1">
        <f t="shared" si="10"/>
        <v>0.41565494974287048</v>
      </c>
      <c r="O54" s="1">
        <f t="shared" si="11"/>
        <v>0.17971728395061731</v>
      </c>
      <c r="P54" s="1">
        <f t="shared" si="12"/>
        <v>0.48336328307620385</v>
      </c>
      <c r="Q54" s="1">
        <f t="shared" si="13"/>
        <v>0.30934691358024696</v>
      </c>
    </row>
    <row r="55" spans="1:17" x14ac:dyDescent="0.25">
      <c r="A55" t="s">
        <v>13</v>
      </c>
      <c r="B55">
        <v>2</v>
      </c>
      <c r="C55" t="s">
        <v>49</v>
      </c>
      <c r="D55">
        <v>-197.715</v>
      </c>
      <c r="E55">
        <v>126.929</v>
      </c>
      <c r="F55">
        <v>713</v>
      </c>
      <c r="G55">
        <v>648</v>
      </c>
      <c r="H55">
        <v>1920</v>
      </c>
      <c r="I55">
        <v>1080</v>
      </c>
      <c r="J55">
        <f t="shared" si="14"/>
        <v>158.785</v>
      </c>
      <c r="K55">
        <f t="shared" si="15"/>
        <v>197.071</v>
      </c>
      <c r="L55" s="1">
        <f t="shared" si="8"/>
        <v>0.37521493688639551</v>
      </c>
      <c r="M55" s="1">
        <f t="shared" si="9"/>
        <v>0.34329753086419751</v>
      </c>
      <c r="N55" s="1">
        <f t="shared" si="10"/>
        <v>0.34136077021972883</v>
      </c>
      <c r="O55" s="1">
        <f t="shared" si="11"/>
        <v>0.27848271604938268</v>
      </c>
      <c r="P55" s="1">
        <f t="shared" si="12"/>
        <v>0.4090691035530622</v>
      </c>
      <c r="Q55" s="1">
        <f t="shared" si="13"/>
        <v>0.40811234567901233</v>
      </c>
    </row>
    <row r="56" spans="1:17" x14ac:dyDescent="0.25">
      <c r="A56" t="s">
        <v>13</v>
      </c>
      <c r="B56">
        <v>3</v>
      </c>
      <c r="C56" t="s">
        <v>67</v>
      </c>
      <c r="D56">
        <v>55.143000000000001</v>
      </c>
      <c r="E56">
        <v>126.929</v>
      </c>
      <c r="F56">
        <v>713</v>
      </c>
      <c r="G56">
        <v>648</v>
      </c>
      <c r="H56">
        <v>1920</v>
      </c>
      <c r="I56">
        <v>1080</v>
      </c>
      <c r="J56">
        <f t="shared" si="14"/>
        <v>411.64300000000003</v>
      </c>
      <c r="K56">
        <f t="shared" si="15"/>
        <v>197.071</v>
      </c>
      <c r="L56" s="1">
        <f t="shared" si="8"/>
        <v>0.53480273492286112</v>
      </c>
      <c r="M56" s="1">
        <f t="shared" si="9"/>
        <v>0.34329753086419751</v>
      </c>
      <c r="N56" s="1">
        <f t="shared" si="10"/>
        <v>0.50094856825619449</v>
      </c>
      <c r="O56" s="1">
        <f t="shared" si="11"/>
        <v>0.27848271604938268</v>
      </c>
      <c r="P56" s="1">
        <f t="shared" si="12"/>
        <v>0.56865690158952775</v>
      </c>
      <c r="Q56" s="1">
        <f t="shared" si="13"/>
        <v>0.40811234567901233</v>
      </c>
    </row>
    <row r="57" spans="1:17" x14ac:dyDescent="0.25">
      <c r="A57" t="s">
        <v>13</v>
      </c>
      <c r="B57">
        <v>4</v>
      </c>
      <c r="C57" t="s">
        <v>65</v>
      </c>
      <c r="D57">
        <v>-10.571999999999999</v>
      </c>
      <c r="E57">
        <v>-109.643</v>
      </c>
      <c r="F57">
        <v>713</v>
      </c>
      <c r="G57">
        <v>648</v>
      </c>
      <c r="H57">
        <v>1920</v>
      </c>
      <c r="I57">
        <v>1080</v>
      </c>
      <c r="J57">
        <f t="shared" si="14"/>
        <v>345.928</v>
      </c>
      <c r="K57">
        <f t="shared" si="15"/>
        <v>433.64300000000003</v>
      </c>
      <c r="L57" s="1">
        <f t="shared" si="8"/>
        <v>0.49332762973352035</v>
      </c>
      <c r="M57" s="1">
        <f t="shared" si="9"/>
        <v>0.63536172839506166</v>
      </c>
      <c r="N57" s="1">
        <f t="shared" si="10"/>
        <v>0.45947346306685366</v>
      </c>
      <c r="O57" s="1">
        <f t="shared" si="11"/>
        <v>0.57054691358024689</v>
      </c>
      <c r="P57" s="1">
        <f t="shared" si="12"/>
        <v>0.52718179640018703</v>
      </c>
      <c r="Q57" s="1">
        <f t="shared" si="13"/>
        <v>0.70017654320987643</v>
      </c>
    </row>
    <row r="58" spans="1:17" x14ac:dyDescent="0.25">
      <c r="A58" t="s">
        <v>14</v>
      </c>
      <c r="B58">
        <v>1</v>
      </c>
      <c r="C58" t="s">
        <v>63</v>
      </c>
      <c r="D58">
        <v>-136.286</v>
      </c>
      <c r="E58">
        <v>132.071</v>
      </c>
      <c r="F58">
        <v>713</v>
      </c>
      <c r="G58">
        <v>648</v>
      </c>
      <c r="H58">
        <v>1920</v>
      </c>
      <c r="I58">
        <v>1080</v>
      </c>
      <c r="J58">
        <f t="shared" si="14"/>
        <v>220.214</v>
      </c>
      <c r="K58">
        <f t="shared" si="15"/>
        <v>191.929</v>
      </c>
      <c r="L58" s="1">
        <f t="shared" si="8"/>
        <v>0.41398499298737729</v>
      </c>
      <c r="M58" s="1">
        <f t="shared" si="9"/>
        <v>0.33694938271604941</v>
      </c>
      <c r="N58" s="1">
        <f t="shared" si="10"/>
        <v>0.3801308263207106</v>
      </c>
      <c r="O58" s="1">
        <f t="shared" si="11"/>
        <v>0.27213456790123458</v>
      </c>
      <c r="P58" s="1">
        <f t="shared" si="12"/>
        <v>0.44783915965404397</v>
      </c>
      <c r="Q58" s="1">
        <f t="shared" si="13"/>
        <v>0.40176419753086423</v>
      </c>
    </row>
    <row r="59" spans="1:17" x14ac:dyDescent="0.25">
      <c r="A59" t="s">
        <v>14</v>
      </c>
      <c r="B59">
        <v>2</v>
      </c>
      <c r="C59" t="s">
        <v>67</v>
      </c>
      <c r="D59">
        <v>248</v>
      </c>
      <c r="E59">
        <v>127.786</v>
      </c>
      <c r="F59">
        <v>713</v>
      </c>
      <c r="G59">
        <v>648</v>
      </c>
      <c r="H59">
        <v>1920</v>
      </c>
      <c r="I59">
        <v>1080</v>
      </c>
      <c r="J59">
        <f t="shared" si="14"/>
        <v>604.5</v>
      </c>
      <c r="K59">
        <f t="shared" si="15"/>
        <v>196.214</v>
      </c>
      <c r="L59" s="1">
        <f t="shared" si="8"/>
        <v>0.65652173913043477</v>
      </c>
      <c r="M59" s="1">
        <f t="shared" si="9"/>
        <v>0.34223950617283949</v>
      </c>
      <c r="N59" s="1">
        <f t="shared" si="10"/>
        <v>0.62266757246376814</v>
      </c>
      <c r="O59" s="1">
        <f t="shared" si="11"/>
        <v>0.27742469135802467</v>
      </c>
      <c r="P59" s="1">
        <f t="shared" si="12"/>
        <v>0.6903759057971014</v>
      </c>
      <c r="Q59" s="1">
        <f t="shared" si="13"/>
        <v>0.40705432098765432</v>
      </c>
    </row>
    <row r="60" spans="1:17" x14ac:dyDescent="0.25">
      <c r="A60" t="s">
        <v>14</v>
      </c>
      <c r="B60">
        <v>3</v>
      </c>
      <c r="C60" t="s">
        <v>49</v>
      </c>
      <c r="D60">
        <v>119.428</v>
      </c>
      <c r="E60">
        <v>-29.643000000000001</v>
      </c>
      <c r="F60">
        <v>713</v>
      </c>
      <c r="G60">
        <v>648</v>
      </c>
      <c r="H60">
        <v>1920</v>
      </c>
      <c r="I60">
        <v>1080</v>
      </c>
      <c r="J60">
        <f t="shared" si="14"/>
        <v>475.928</v>
      </c>
      <c r="K60">
        <f t="shared" si="15"/>
        <v>353.64300000000003</v>
      </c>
      <c r="L60" s="1">
        <f t="shared" si="8"/>
        <v>0.57537531556802246</v>
      </c>
      <c r="M60" s="1">
        <f t="shared" si="9"/>
        <v>0.53659629629629635</v>
      </c>
      <c r="N60" s="1">
        <f t="shared" si="10"/>
        <v>0.54152114890135583</v>
      </c>
      <c r="O60" s="1">
        <f t="shared" si="11"/>
        <v>0.47178148148148152</v>
      </c>
      <c r="P60" s="1">
        <f t="shared" si="12"/>
        <v>0.60922948223468909</v>
      </c>
      <c r="Q60" s="1">
        <f t="shared" si="13"/>
        <v>0.60141111111111112</v>
      </c>
    </row>
    <row r="61" spans="1:17" x14ac:dyDescent="0.25">
      <c r="A61" t="s">
        <v>14</v>
      </c>
      <c r="B61">
        <v>4</v>
      </c>
      <c r="C61" t="s">
        <v>65</v>
      </c>
      <c r="D61">
        <v>-9.1430000000000007</v>
      </c>
      <c r="E61">
        <v>-110.214</v>
      </c>
      <c r="F61">
        <v>713</v>
      </c>
      <c r="G61">
        <v>648</v>
      </c>
      <c r="H61">
        <v>1920</v>
      </c>
      <c r="I61">
        <v>1080</v>
      </c>
      <c r="J61">
        <f t="shared" si="14"/>
        <v>347.35699999999997</v>
      </c>
      <c r="K61">
        <f t="shared" si="15"/>
        <v>434.214</v>
      </c>
      <c r="L61" s="1">
        <f t="shared" si="8"/>
        <v>0.49422952314165497</v>
      </c>
      <c r="M61" s="1">
        <f t="shared" si="9"/>
        <v>0.63606666666666667</v>
      </c>
      <c r="N61" s="1">
        <f t="shared" si="10"/>
        <v>0.46037535647498828</v>
      </c>
      <c r="O61" s="1">
        <f t="shared" si="11"/>
        <v>0.5712518518518519</v>
      </c>
      <c r="P61" s="1">
        <f t="shared" si="12"/>
        <v>0.52808368980832165</v>
      </c>
      <c r="Q61" s="1">
        <f t="shared" si="13"/>
        <v>0.70088148148148144</v>
      </c>
    </row>
    <row r="62" spans="1:17" x14ac:dyDescent="0.25">
      <c r="A62" t="s">
        <v>15</v>
      </c>
      <c r="B62">
        <v>1</v>
      </c>
      <c r="C62" t="s">
        <v>58</v>
      </c>
      <c r="D62">
        <v>-196.286</v>
      </c>
      <c r="E62">
        <v>206.357</v>
      </c>
      <c r="F62">
        <v>713</v>
      </c>
      <c r="G62">
        <v>648</v>
      </c>
      <c r="H62">
        <v>1920</v>
      </c>
      <c r="I62">
        <v>1080</v>
      </c>
      <c r="J62">
        <f t="shared" si="14"/>
        <v>160.214</v>
      </c>
      <c r="K62">
        <f t="shared" si="15"/>
        <v>117.643</v>
      </c>
      <c r="L62" s="1">
        <f t="shared" si="8"/>
        <v>0.37611683029453014</v>
      </c>
      <c r="M62" s="1">
        <f t="shared" si="9"/>
        <v>0.24523827160493827</v>
      </c>
      <c r="N62" s="1">
        <f t="shared" si="10"/>
        <v>0.34226266362786345</v>
      </c>
      <c r="O62" s="1">
        <f t="shared" si="11"/>
        <v>0.18042345679012345</v>
      </c>
      <c r="P62" s="1">
        <f t="shared" si="12"/>
        <v>0.40997099696119682</v>
      </c>
      <c r="Q62" s="1">
        <f t="shared" si="13"/>
        <v>0.3100530864197531</v>
      </c>
    </row>
    <row r="63" spans="1:17" x14ac:dyDescent="0.25">
      <c r="A63" t="s">
        <v>15</v>
      </c>
      <c r="B63">
        <v>2</v>
      </c>
      <c r="C63" t="s">
        <v>68</v>
      </c>
      <c r="D63">
        <v>245.143</v>
      </c>
      <c r="E63">
        <v>126.929</v>
      </c>
      <c r="F63">
        <v>713</v>
      </c>
      <c r="G63">
        <v>648</v>
      </c>
      <c r="H63">
        <v>1920</v>
      </c>
      <c r="I63">
        <v>1080</v>
      </c>
      <c r="J63">
        <f t="shared" si="14"/>
        <v>601.64300000000003</v>
      </c>
      <c r="K63">
        <f t="shared" si="15"/>
        <v>197.071</v>
      </c>
      <c r="L63" s="1">
        <f t="shared" si="8"/>
        <v>0.65471858345021039</v>
      </c>
      <c r="M63" s="1">
        <f t="shared" si="9"/>
        <v>0.34329753086419751</v>
      </c>
      <c r="N63" s="1">
        <f t="shared" si="10"/>
        <v>0.62086441678354376</v>
      </c>
      <c r="O63" s="1">
        <f t="shared" si="11"/>
        <v>0.27848271604938268</v>
      </c>
      <c r="P63" s="1">
        <f t="shared" si="12"/>
        <v>0.68857275011687702</v>
      </c>
      <c r="Q63" s="1">
        <f t="shared" si="13"/>
        <v>0.40811234567901233</v>
      </c>
    </row>
    <row r="64" spans="1:17" x14ac:dyDescent="0.25">
      <c r="A64" t="s">
        <v>15</v>
      </c>
      <c r="B64">
        <v>3</v>
      </c>
      <c r="C64" t="s">
        <v>48</v>
      </c>
      <c r="D64">
        <v>56.570999999999998</v>
      </c>
      <c r="E64">
        <v>48.957000000000001</v>
      </c>
      <c r="F64">
        <v>713</v>
      </c>
      <c r="G64">
        <v>648</v>
      </c>
      <c r="H64">
        <v>1920</v>
      </c>
      <c r="I64">
        <v>1080</v>
      </c>
      <c r="J64">
        <f t="shared" si="14"/>
        <v>413.07100000000003</v>
      </c>
      <c r="K64">
        <f t="shared" si="15"/>
        <v>275.04300000000001</v>
      </c>
      <c r="L64" s="1">
        <f t="shared" si="8"/>
        <v>0.53570399719495088</v>
      </c>
      <c r="M64" s="1">
        <f t="shared" si="9"/>
        <v>0.43955925925925926</v>
      </c>
      <c r="N64" s="1">
        <f t="shared" si="10"/>
        <v>0.50184983052828425</v>
      </c>
      <c r="O64" s="1">
        <f t="shared" si="11"/>
        <v>0.37474444444444444</v>
      </c>
      <c r="P64" s="1">
        <f t="shared" si="12"/>
        <v>0.56955816386161751</v>
      </c>
      <c r="Q64" s="1">
        <f t="shared" si="13"/>
        <v>0.50437407407407409</v>
      </c>
    </row>
    <row r="65" spans="1:17" x14ac:dyDescent="0.25">
      <c r="A65" t="s">
        <v>15</v>
      </c>
      <c r="B65">
        <v>4</v>
      </c>
      <c r="C65" t="s">
        <v>56</v>
      </c>
      <c r="D65">
        <v>-10.571999999999999</v>
      </c>
      <c r="E65">
        <v>-108.786</v>
      </c>
      <c r="F65">
        <v>713</v>
      </c>
      <c r="G65">
        <v>648</v>
      </c>
      <c r="H65">
        <v>1920</v>
      </c>
      <c r="I65">
        <v>1080</v>
      </c>
      <c r="J65">
        <f t="shared" si="14"/>
        <v>345.928</v>
      </c>
      <c r="K65">
        <f t="shared" si="15"/>
        <v>432.786</v>
      </c>
      <c r="L65" s="1">
        <f t="shared" si="8"/>
        <v>0.49332762973352035</v>
      </c>
      <c r="M65" s="1">
        <f t="shared" si="9"/>
        <v>0.6343037037037037</v>
      </c>
      <c r="N65" s="1">
        <f t="shared" si="10"/>
        <v>0.45947346306685366</v>
      </c>
      <c r="O65" s="1">
        <f t="shared" si="11"/>
        <v>0.56948888888888893</v>
      </c>
      <c r="P65" s="1">
        <f t="shared" si="12"/>
        <v>0.52718179640018703</v>
      </c>
      <c r="Q65" s="1">
        <f t="shared" si="13"/>
        <v>0.69911851851851847</v>
      </c>
    </row>
    <row r="66" spans="1:17" x14ac:dyDescent="0.25">
      <c r="A66" t="s">
        <v>16</v>
      </c>
      <c r="B66">
        <v>1</v>
      </c>
      <c r="C66" t="s">
        <v>59</v>
      </c>
      <c r="D66">
        <v>62.286000000000001</v>
      </c>
      <c r="E66">
        <v>206.929</v>
      </c>
      <c r="F66">
        <v>713</v>
      </c>
      <c r="G66">
        <v>648</v>
      </c>
      <c r="H66">
        <v>1920</v>
      </c>
      <c r="I66">
        <v>1080</v>
      </c>
      <c r="J66">
        <f t="shared" si="14"/>
        <v>418.786</v>
      </c>
      <c r="K66">
        <f t="shared" si="15"/>
        <v>117.071</v>
      </c>
      <c r="L66" s="1">
        <f t="shared" si="8"/>
        <v>0.53931093969144461</v>
      </c>
      <c r="M66" s="1">
        <f t="shared" si="9"/>
        <v>0.24453209876543214</v>
      </c>
      <c r="N66" s="1">
        <f t="shared" si="10"/>
        <v>0.50545677302477798</v>
      </c>
      <c r="O66" s="1">
        <f t="shared" si="11"/>
        <v>0.17971728395061731</v>
      </c>
      <c r="P66" s="1">
        <f t="shared" si="12"/>
        <v>0.57316510635811124</v>
      </c>
      <c r="Q66" s="1">
        <f t="shared" si="13"/>
        <v>0.30934691358024696</v>
      </c>
    </row>
    <row r="67" spans="1:17" x14ac:dyDescent="0.25">
      <c r="A67" t="s">
        <v>16</v>
      </c>
      <c r="B67">
        <v>2</v>
      </c>
      <c r="C67" t="s">
        <v>66</v>
      </c>
      <c r="D67">
        <v>62.286000000000001</v>
      </c>
      <c r="E67">
        <v>44.070999999999998</v>
      </c>
      <c r="F67">
        <v>713</v>
      </c>
      <c r="G67">
        <v>648</v>
      </c>
      <c r="H67">
        <v>1920</v>
      </c>
      <c r="I67">
        <v>1080</v>
      </c>
      <c r="J67">
        <f t="shared" si="14"/>
        <v>418.786</v>
      </c>
      <c r="K67">
        <f t="shared" si="15"/>
        <v>279.92899999999997</v>
      </c>
      <c r="L67" s="1">
        <f t="shared" si="8"/>
        <v>0.53931093969144461</v>
      </c>
      <c r="M67" s="1">
        <f t="shared" si="9"/>
        <v>0.44559135802469135</v>
      </c>
      <c r="N67" s="1">
        <f t="shared" si="10"/>
        <v>0.50545677302477798</v>
      </c>
      <c r="O67" s="1">
        <f t="shared" si="11"/>
        <v>0.38077654320987653</v>
      </c>
      <c r="P67" s="1">
        <f t="shared" si="12"/>
        <v>0.57316510635811124</v>
      </c>
      <c r="Q67" s="1">
        <f t="shared" si="13"/>
        <v>0.51040617283950618</v>
      </c>
    </row>
    <row r="68" spans="1:17" x14ac:dyDescent="0.25">
      <c r="A68" t="s">
        <v>16</v>
      </c>
      <c r="B68">
        <v>3</v>
      </c>
      <c r="C68" t="s">
        <v>65</v>
      </c>
      <c r="D68">
        <v>-90.572000000000003</v>
      </c>
      <c r="E68">
        <v>-35.929000000000002</v>
      </c>
      <c r="F68">
        <v>713</v>
      </c>
      <c r="G68">
        <v>648</v>
      </c>
      <c r="H68">
        <v>1920</v>
      </c>
      <c r="I68">
        <v>1080</v>
      </c>
      <c r="J68">
        <f t="shared" si="14"/>
        <v>265.928</v>
      </c>
      <c r="K68">
        <f t="shared" si="15"/>
        <v>359.92899999999997</v>
      </c>
      <c r="L68" s="1">
        <f t="shared" si="8"/>
        <v>0.44283674614305751</v>
      </c>
      <c r="M68" s="1">
        <f t="shared" si="9"/>
        <v>0.54435679012345684</v>
      </c>
      <c r="N68" s="1">
        <f t="shared" si="10"/>
        <v>0.40898257947639083</v>
      </c>
      <c r="O68" s="1">
        <f t="shared" si="11"/>
        <v>0.47954197530864201</v>
      </c>
      <c r="P68" s="1">
        <f t="shared" si="12"/>
        <v>0.4766909128097242</v>
      </c>
      <c r="Q68" s="1">
        <f t="shared" si="13"/>
        <v>0.6091716049382716</v>
      </c>
    </row>
    <row r="69" spans="1:17" x14ac:dyDescent="0.25">
      <c r="A69" t="s">
        <v>16</v>
      </c>
      <c r="B69">
        <v>4</v>
      </c>
      <c r="C69" t="s">
        <v>67</v>
      </c>
      <c r="D69">
        <v>240.857</v>
      </c>
      <c r="E69">
        <v>-35.929000000000002</v>
      </c>
      <c r="F69">
        <v>713</v>
      </c>
      <c r="G69">
        <v>648</v>
      </c>
      <c r="H69">
        <v>1920</v>
      </c>
      <c r="I69">
        <v>1080</v>
      </c>
      <c r="J69">
        <f t="shared" si="14"/>
        <v>597.35699999999997</v>
      </c>
      <c r="K69">
        <f t="shared" si="15"/>
        <v>359.92899999999997</v>
      </c>
      <c r="L69" s="1">
        <f t="shared" si="8"/>
        <v>0.65201353436185139</v>
      </c>
      <c r="M69" s="1">
        <f t="shared" si="9"/>
        <v>0.54435679012345684</v>
      </c>
      <c r="N69" s="1">
        <f t="shared" si="10"/>
        <v>0.61815936769518476</v>
      </c>
      <c r="O69" s="1">
        <f t="shared" si="11"/>
        <v>0.47954197530864201</v>
      </c>
      <c r="P69" s="1">
        <f t="shared" si="12"/>
        <v>0.68586770102851802</v>
      </c>
      <c r="Q69" s="1">
        <f t="shared" si="13"/>
        <v>0.6091716049382716</v>
      </c>
    </row>
    <row r="70" spans="1:17" x14ac:dyDescent="0.25">
      <c r="A70" t="s">
        <v>17</v>
      </c>
      <c r="B70">
        <v>1</v>
      </c>
      <c r="C70" t="s">
        <v>48</v>
      </c>
      <c r="D70">
        <v>118</v>
      </c>
      <c r="E70">
        <v>205.5</v>
      </c>
      <c r="F70">
        <v>713</v>
      </c>
      <c r="G70">
        <v>648</v>
      </c>
      <c r="H70">
        <v>1920</v>
      </c>
      <c r="I70">
        <v>1080</v>
      </c>
      <c r="J70">
        <f t="shared" si="14"/>
        <v>474.5</v>
      </c>
      <c r="K70">
        <f t="shared" si="15"/>
        <v>118.5</v>
      </c>
      <c r="L70" s="1">
        <f t="shared" si="8"/>
        <v>0.57447405329593271</v>
      </c>
      <c r="M70" s="1">
        <f t="shared" si="9"/>
        <v>0.24629629629629629</v>
      </c>
      <c r="N70" s="1">
        <f t="shared" si="10"/>
        <v>0.54061988662926608</v>
      </c>
      <c r="O70" s="1">
        <f t="shared" si="11"/>
        <v>0.18148148148148147</v>
      </c>
      <c r="P70" s="1">
        <f t="shared" si="12"/>
        <v>0.60832821996259934</v>
      </c>
      <c r="Q70" s="1">
        <f t="shared" si="13"/>
        <v>0.31111111111111112</v>
      </c>
    </row>
    <row r="71" spans="1:17" x14ac:dyDescent="0.25">
      <c r="A71" t="s">
        <v>17</v>
      </c>
      <c r="B71">
        <v>2</v>
      </c>
      <c r="C71" t="s">
        <v>47</v>
      </c>
      <c r="D71">
        <v>-12</v>
      </c>
      <c r="E71">
        <v>125.5</v>
      </c>
      <c r="F71">
        <v>713</v>
      </c>
      <c r="G71">
        <v>648</v>
      </c>
      <c r="H71">
        <v>1920</v>
      </c>
      <c r="I71">
        <v>1080</v>
      </c>
      <c r="J71">
        <f t="shared" si="14"/>
        <v>344.5</v>
      </c>
      <c r="K71">
        <f t="shared" si="15"/>
        <v>198.5</v>
      </c>
      <c r="L71" s="1">
        <f t="shared" si="8"/>
        <v>0.49242636746143059</v>
      </c>
      <c r="M71" s="1">
        <f t="shared" si="9"/>
        <v>0.34506172839506172</v>
      </c>
      <c r="N71" s="1">
        <f t="shared" si="10"/>
        <v>0.45857220079476391</v>
      </c>
      <c r="O71" s="1">
        <f t="shared" si="11"/>
        <v>0.28024691358024689</v>
      </c>
      <c r="P71" s="1">
        <f t="shared" si="12"/>
        <v>0.52628053412809728</v>
      </c>
      <c r="Q71" s="1">
        <f t="shared" si="13"/>
        <v>0.40987654320987654</v>
      </c>
    </row>
    <row r="72" spans="1:17" x14ac:dyDescent="0.25">
      <c r="A72" t="s">
        <v>17</v>
      </c>
      <c r="B72">
        <v>3</v>
      </c>
      <c r="C72" t="s">
        <v>49</v>
      </c>
      <c r="D72">
        <v>-36.286000000000001</v>
      </c>
      <c r="E72">
        <v>-35.929000000000002</v>
      </c>
      <c r="F72">
        <v>713</v>
      </c>
      <c r="G72">
        <v>648</v>
      </c>
      <c r="H72">
        <v>1920</v>
      </c>
      <c r="I72">
        <v>1080</v>
      </c>
      <c r="J72">
        <f t="shared" si="14"/>
        <v>320.214</v>
      </c>
      <c r="K72">
        <f t="shared" si="15"/>
        <v>359.92899999999997</v>
      </c>
      <c r="L72" s="1">
        <f t="shared" si="8"/>
        <v>0.4770985974754558</v>
      </c>
      <c r="M72" s="1">
        <f t="shared" si="9"/>
        <v>0.54435679012345684</v>
      </c>
      <c r="N72" s="1">
        <f t="shared" si="10"/>
        <v>0.44324443080878911</v>
      </c>
      <c r="O72" s="1">
        <f t="shared" si="11"/>
        <v>0.47954197530864201</v>
      </c>
      <c r="P72" s="1">
        <f t="shared" si="12"/>
        <v>0.51095276414212243</v>
      </c>
      <c r="Q72" s="1">
        <f t="shared" si="13"/>
        <v>0.6091716049382716</v>
      </c>
    </row>
    <row r="73" spans="1:17" x14ac:dyDescent="0.25">
      <c r="A73" t="s">
        <v>17</v>
      </c>
      <c r="B73">
        <v>4</v>
      </c>
      <c r="C73" t="s">
        <v>50</v>
      </c>
      <c r="D73">
        <v>-197.715</v>
      </c>
      <c r="E73">
        <v>-108.786</v>
      </c>
      <c r="F73">
        <v>713</v>
      </c>
      <c r="G73">
        <v>648</v>
      </c>
      <c r="H73">
        <v>1920</v>
      </c>
      <c r="I73">
        <v>1080</v>
      </c>
      <c r="J73">
        <f t="shared" si="14"/>
        <v>158.785</v>
      </c>
      <c r="K73">
        <f t="shared" si="15"/>
        <v>432.786</v>
      </c>
      <c r="L73" s="1">
        <f t="shared" si="8"/>
        <v>0.37521493688639551</v>
      </c>
      <c r="M73" s="1">
        <f t="shared" si="9"/>
        <v>0.6343037037037037</v>
      </c>
      <c r="N73" s="1">
        <f t="shared" si="10"/>
        <v>0.34136077021972883</v>
      </c>
      <c r="O73" s="1">
        <f t="shared" si="11"/>
        <v>0.56948888888888893</v>
      </c>
      <c r="P73" s="1">
        <f t="shared" si="12"/>
        <v>0.4090691035530622</v>
      </c>
      <c r="Q73" s="1">
        <f t="shared" si="13"/>
        <v>0.69911851851851847</v>
      </c>
    </row>
    <row r="74" spans="1:17" x14ac:dyDescent="0.25">
      <c r="A74" t="s">
        <v>18</v>
      </c>
      <c r="B74">
        <v>1</v>
      </c>
      <c r="C74" t="s">
        <v>70</v>
      </c>
      <c r="D74">
        <v>-10.571999999999999</v>
      </c>
      <c r="E74">
        <v>126.929</v>
      </c>
      <c r="F74">
        <v>713</v>
      </c>
      <c r="G74">
        <v>648</v>
      </c>
      <c r="H74">
        <v>1920</v>
      </c>
      <c r="I74">
        <v>1080</v>
      </c>
      <c r="J74">
        <f t="shared" si="14"/>
        <v>345.928</v>
      </c>
      <c r="K74">
        <f t="shared" si="15"/>
        <v>197.071</v>
      </c>
      <c r="L74" s="1">
        <f t="shared" ref="L74:L137" si="16">((D74/F74)*(0.8*I74))/H74 + 0.5</f>
        <v>0.49332762973352035</v>
      </c>
      <c r="M74" s="1">
        <f t="shared" ref="M74:M137" si="17">((-E74/G74)*(0.8*I74))/I74 + 0.5</f>
        <v>0.34329753086419751</v>
      </c>
      <c r="N74" s="1">
        <f t="shared" ref="N74:N137" si="18">L74 - (65/H74)</f>
        <v>0.45947346306685366</v>
      </c>
      <c r="O74" s="1">
        <f t="shared" ref="O74:O137" si="19">M74- (70/I74)</f>
        <v>0.27848271604938268</v>
      </c>
      <c r="P74" s="1">
        <f t="shared" ref="P74:P137" si="20">L74 + (65/H74)</f>
        <v>0.52718179640018703</v>
      </c>
      <c r="Q74" s="1">
        <f t="shared" ref="Q74:Q137" si="21">M74 + (70/I74)</f>
        <v>0.40811234567901233</v>
      </c>
    </row>
    <row r="75" spans="1:17" x14ac:dyDescent="0.25">
      <c r="A75" t="s">
        <v>18</v>
      </c>
      <c r="B75">
        <v>2</v>
      </c>
      <c r="C75" t="s">
        <v>57</v>
      </c>
      <c r="D75">
        <v>303.714</v>
      </c>
      <c r="E75">
        <v>126.929</v>
      </c>
      <c r="F75">
        <v>713</v>
      </c>
      <c r="G75">
        <v>648</v>
      </c>
      <c r="H75">
        <v>1920</v>
      </c>
      <c r="I75">
        <v>1080</v>
      </c>
      <c r="J75">
        <f t="shared" si="14"/>
        <v>660.21399999999994</v>
      </c>
      <c r="K75">
        <f t="shared" si="15"/>
        <v>197.071</v>
      </c>
      <c r="L75" s="1">
        <f t="shared" si="16"/>
        <v>0.69168485273492286</v>
      </c>
      <c r="M75" s="1">
        <f t="shared" si="17"/>
        <v>0.34329753086419751</v>
      </c>
      <c r="N75" s="1">
        <f t="shared" si="18"/>
        <v>0.65783068606825623</v>
      </c>
      <c r="O75" s="1">
        <f t="shared" si="19"/>
        <v>0.27848271604938268</v>
      </c>
      <c r="P75" s="1">
        <f t="shared" si="20"/>
        <v>0.72553901940158949</v>
      </c>
      <c r="Q75" s="1">
        <f t="shared" si="21"/>
        <v>0.40811234567901233</v>
      </c>
    </row>
    <row r="76" spans="1:17" x14ac:dyDescent="0.25">
      <c r="A76" t="s">
        <v>18</v>
      </c>
      <c r="B76">
        <v>3</v>
      </c>
      <c r="C76" t="s">
        <v>71</v>
      </c>
      <c r="D76">
        <v>120</v>
      </c>
      <c r="E76">
        <v>-35.929000000000002</v>
      </c>
      <c r="F76">
        <v>713</v>
      </c>
      <c r="G76">
        <v>648</v>
      </c>
      <c r="H76">
        <v>1920</v>
      </c>
      <c r="I76">
        <v>1080</v>
      </c>
      <c r="J76">
        <f t="shared" si="14"/>
        <v>476.5</v>
      </c>
      <c r="K76">
        <f t="shared" si="15"/>
        <v>359.92899999999997</v>
      </c>
      <c r="L76" s="1">
        <f t="shared" si="16"/>
        <v>0.57573632538569419</v>
      </c>
      <c r="M76" s="1">
        <f t="shared" si="17"/>
        <v>0.54435679012345684</v>
      </c>
      <c r="N76" s="1">
        <f t="shared" si="18"/>
        <v>0.54188215871902756</v>
      </c>
      <c r="O76" s="1">
        <f t="shared" si="19"/>
        <v>0.47954197530864201</v>
      </c>
      <c r="P76" s="1">
        <f t="shared" si="20"/>
        <v>0.60959049205236082</v>
      </c>
      <c r="Q76" s="1">
        <f t="shared" si="21"/>
        <v>0.6091716049382716</v>
      </c>
    </row>
    <row r="77" spans="1:17" x14ac:dyDescent="0.25">
      <c r="A77" t="s">
        <v>18</v>
      </c>
      <c r="B77">
        <v>4</v>
      </c>
      <c r="C77" t="s">
        <v>51</v>
      </c>
      <c r="D77">
        <v>-134.857</v>
      </c>
      <c r="E77">
        <v>-110.786</v>
      </c>
      <c r="F77">
        <v>713</v>
      </c>
      <c r="G77">
        <v>648</v>
      </c>
      <c r="H77">
        <v>1920</v>
      </c>
      <c r="I77">
        <v>1080</v>
      </c>
      <c r="J77">
        <f t="shared" ref="J77:J140" si="22" xml:space="preserve"> F77/2 + D77</f>
        <v>221.643</v>
      </c>
      <c r="K77">
        <f t="shared" ref="K77:K140" si="23" xml:space="preserve"> G77/2 - E77</f>
        <v>434.786</v>
      </c>
      <c r="L77" s="1">
        <f t="shared" si="16"/>
        <v>0.41488688639551191</v>
      </c>
      <c r="M77" s="1">
        <f t="shared" si="17"/>
        <v>0.63677283950617292</v>
      </c>
      <c r="N77" s="1">
        <f t="shared" si="18"/>
        <v>0.38103271972884523</v>
      </c>
      <c r="O77" s="1">
        <f t="shared" si="19"/>
        <v>0.57195802469135815</v>
      </c>
      <c r="P77" s="1">
        <f t="shared" si="20"/>
        <v>0.4487410530621786</v>
      </c>
      <c r="Q77" s="1">
        <f t="shared" si="21"/>
        <v>0.70158765432098769</v>
      </c>
    </row>
    <row r="78" spans="1:17" x14ac:dyDescent="0.25">
      <c r="A78" t="s">
        <v>19</v>
      </c>
      <c r="B78">
        <v>1</v>
      </c>
      <c r="C78" t="s">
        <v>48</v>
      </c>
      <c r="D78">
        <v>-9.1430000000000007</v>
      </c>
      <c r="E78">
        <v>213.5</v>
      </c>
      <c r="F78">
        <v>713</v>
      </c>
      <c r="G78">
        <v>648</v>
      </c>
      <c r="H78">
        <v>1920</v>
      </c>
      <c r="I78">
        <v>1080</v>
      </c>
      <c r="J78">
        <f t="shared" si="22"/>
        <v>347.35699999999997</v>
      </c>
      <c r="K78">
        <f t="shared" si="23"/>
        <v>110.5</v>
      </c>
      <c r="L78" s="1">
        <f t="shared" si="16"/>
        <v>0.49422952314165497</v>
      </c>
      <c r="M78" s="1">
        <f t="shared" si="17"/>
        <v>0.23641975308641971</v>
      </c>
      <c r="N78" s="1">
        <f t="shared" si="18"/>
        <v>0.46037535647498828</v>
      </c>
      <c r="O78" s="1">
        <f t="shared" si="19"/>
        <v>0.17160493827160489</v>
      </c>
      <c r="P78" s="1">
        <f t="shared" si="20"/>
        <v>0.52808368980832165</v>
      </c>
      <c r="Q78" s="1">
        <f t="shared" si="21"/>
        <v>0.30123456790123454</v>
      </c>
    </row>
    <row r="79" spans="1:17" x14ac:dyDescent="0.25">
      <c r="A79" t="s">
        <v>19</v>
      </c>
      <c r="B79">
        <v>2</v>
      </c>
      <c r="C79" t="s">
        <v>72</v>
      </c>
      <c r="D79">
        <v>122.857</v>
      </c>
      <c r="E79">
        <v>212.071</v>
      </c>
      <c r="F79">
        <v>713</v>
      </c>
      <c r="G79">
        <v>648</v>
      </c>
      <c r="H79">
        <v>1920</v>
      </c>
      <c r="I79">
        <v>1080</v>
      </c>
      <c r="J79">
        <f t="shared" si="22"/>
        <v>479.35699999999997</v>
      </c>
      <c r="K79">
        <f t="shared" si="23"/>
        <v>111.929</v>
      </c>
      <c r="L79" s="1">
        <f t="shared" si="16"/>
        <v>0.57753948106591868</v>
      </c>
      <c r="M79" s="1">
        <f t="shared" si="17"/>
        <v>0.23818395061728398</v>
      </c>
      <c r="N79" s="1">
        <f t="shared" si="18"/>
        <v>0.54368531439925205</v>
      </c>
      <c r="O79" s="1">
        <f t="shared" si="19"/>
        <v>0.17336913580246915</v>
      </c>
      <c r="P79" s="1">
        <f t="shared" si="20"/>
        <v>0.61139364773258531</v>
      </c>
      <c r="Q79" s="1">
        <f t="shared" si="21"/>
        <v>0.3029987654320988</v>
      </c>
    </row>
    <row r="80" spans="1:17" x14ac:dyDescent="0.25">
      <c r="A80" t="s">
        <v>19</v>
      </c>
      <c r="B80">
        <v>3</v>
      </c>
      <c r="C80" t="s">
        <v>66</v>
      </c>
      <c r="D80">
        <v>-12</v>
      </c>
      <c r="E80">
        <v>41.213999999999999</v>
      </c>
      <c r="F80">
        <v>713</v>
      </c>
      <c r="G80">
        <v>648</v>
      </c>
      <c r="H80">
        <v>1920</v>
      </c>
      <c r="I80">
        <v>1080</v>
      </c>
      <c r="J80">
        <f t="shared" si="22"/>
        <v>344.5</v>
      </c>
      <c r="K80">
        <f t="shared" si="23"/>
        <v>282.786</v>
      </c>
      <c r="L80" s="1">
        <f t="shared" si="16"/>
        <v>0.49242636746143059</v>
      </c>
      <c r="M80" s="1">
        <f t="shared" si="17"/>
        <v>0.44911851851851853</v>
      </c>
      <c r="N80" s="1">
        <f t="shared" si="18"/>
        <v>0.45857220079476391</v>
      </c>
      <c r="O80" s="1">
        <f t="shared" si="19"/>
        <v>0.3843037037037037</v>
      </c>
      <c r="P80" s="1">
        <f t="shared" si="20"/>
        <v>0.52628053412809728</v>
      </c>
      <c r="Q80" s="1">
        <f t="shared" si="21"/>
        <v>0.51393333333333335</v>
      </c>
    </row>
    <row r="81" spans="1:17" x14ac:dyDescent="0.25">
      <c r="A81" t="s">
        <v>19</v>
      </c>
      <c r="B81">
        <v>4</v>
      </c>
      <c r="C81" t="s">
        <v>73</v>
      </c>
      <c r="D81">
        <v>245.143</v>
      </c>
      <c r="E81">
        <v>-114.5</v>
      </c>
      <c r="F81">
        <v>713</v>
      </c>
      <c r="G81">
        <v>648</v>
      </c>
      <c r="H81">
        <v>1920</v>
      </c>
      <c r="I81">
        <v>1080</v>
      </c>
      <c r="J81">
        <f t="shared" si="22"/>
        <v>601.64300000000003</v>
      </c>
      <c r="K81">
        <f t="shared" si="23"/>
        <v>438.5</v>
      </c>
      <c r="L81" s="1">
        <f t="shared" si="16"/>
        <v>0.65471858345021039</v>
      </c>
      <c r="M81" s="1">
        <f t="shared" si="17"/>
        <v>0.64135802469135805</v>
      </c>
      <c r="N81" s="1">
        <f t="shared" si="18"/>
        <v>0.62086441678354376</v>
      </c>
      <c r="O81" s="1">
        <f t="shared" si="19"/>
        <v>0.57654320987654328</v>
      </c>
      <c r="P81" s="1">
        <f t="shared" si="20"/>
        <v>0.68857275011687702</v>
      </c>
      <c r="Q81" s="1">
        <f t="shared" si="21"/>
        <v>0.70617283950617282</v>
      </c>
    </row>
    <row r="82" spans="1:17" x14ac:dyDescent="0.25">
      <c r="A82" t="s">
        <v>20</v>
      </c>
      <c r="B82">
        <v>1</v>
      </c>
      <c r="C82" t="s">
        <v>73</v>
      </c>
      <c r="D82">
        <v>-135</v>
      </c>
      <c r="E82">
        <v>206.071</v>
      </c>
      <c r="F82">
        <v>713</v>
      </c>
      <c r="G82">
        <v>648</v>
      </c>
      <c r="H82">
        <v>1920</v>
      </c>
      <c r="I82">
        <v>1080</v>
      </c>
      <c r="J82">
        <f t="shared" si="22"/>
        <v>221.5</v>
      </c>
      <c r="K82">
        <f t="shared" si="23"/>
        <v>117.929</v>
      </c>
      <c r="L82" s="1">
        <f t="shared" si="16"/>
        <v>0.41479663394109401</v>
      </c>
      <c r="M82" s="1">
        <f t="shared" si="17"/>
        <v>0.24559135802469134</v>
      </c>
      <c r="N82" s="1">
        <f t="shared" si="18"/>
        <v>0.38094246727442732</v>
      </c>
      <c r="O82" s="1">
        <f t="shared" si="19"/>
        <v>0.18077654320987652</v>
      </c>
      <c r="P82" s="1">
        <f t="shared" si="20"/>
        <v>0.44865080060776069</v>
      </c>
      <c r="Q82" s="1">
        <f t="shared" si="21"/>
        <v>0.31040617283950617</v>
      </c>
    </row>
    <row r="83" spans="1:17" x14ac:dyDescent="0.25">
      <c r="A83" t="s">
        <v>20</v>
      </c>
      <c r="B83">
        <v>2</v>
      </c>
      <c r="C83" t="s">
        <v>48</v>
      </c>
      <c r="D83">
        <v>-73</v>
      </c>
      <c r="E83">
        <v>-30</v>
      </c>
      <c r="F83">
        <v>713</v>
      </c>
      <c r="G83">
        <v>648</v>
      </c>
      <c r="H83">
        <v>1920</v>
      </c>
      <c r="I83">
        <v>1080</v>
      </c>
      <c r="J83">
        <f t="shared" si="22"/>
        <v>283.5</v>
      </c>
      <c r="K83">
        <f t="shared" si="23"/>
        <v>354</v>
      </c>
      <c r="L83" s="1">
        <f t="shared" si="16"/>
        <v>0.4539270687237027</v>
      </c>
      <c r="M83" s="1">
        <f t="shared" si="17"/>
        <v>0.53703703703703698</v>
      </c>
      <c r="N83" s="1">
        <f t="shared" si="18"/>
        <v>0.42007290205703601</v>
      </c>
      <c r="O83" s="1">
        <f t="shared" si="19"/>
        <v>0.47222222222222215</v>
      </c>
      <c r="P83" s="1">
        <f t="shared" si="20"/>
        <v>0.48778123539036938</v>
      </c>
      <c r="Q83" s="1">
        <f t="shared" si="21"/>
        <v>0.60185185185185175</v>
      </c>
    </row>
    <row r="84" spans="1:17" x14ac:dyDescent="0.25">
      <c r="A84" t="s">
        <v>20</v>
      </c>
      <c r="B84">
        <v>3</v>
      </c>
      <c r="C84" t="s">
        <v>72</v>
      </c>
      <c r="D84">
        <v>245</v>
      </c>
      <c r="E84">
        <v>43.5</v>
      </c>
      <c r="F84">
        <v>713</v>
      </c>
      <c r="G84">
        <v>648</v>
      </c>
      <c r="H84">
        <v>1920</v>
      </c>
      <c r="I84">
        <v>1080</v>
      </c>
      <c r="J84">
        <f t="shared" si="22"/>
        <v>601.5</v>
      </c>
      <c r="K84">
        <f t="shared" si="23"/>
        <v>280.5</v>
      </c>
      <c r="L84" s="1">
        <f t="shared" si="16"/>
        <v>0.65462833099579243</v>
      </c>
      <c r="M84" s="1">
        <f t="shared" si="17"/>
        <v>0.4462962962962963</v>
      </c>
      <c r="N84" s="1">
        <f t="shared" si="18"/>
        <v>0.6207741643291258</v>
      </c>
      <c r="O84" s="1">
        <f t="shared" si="19"/>
        <v>0.38148148148148148</v>
      </c>
      <c r="P84" s="1">
        <f t="shared" si="20"/>
        <v>0.68848249766245906</v>
      </c>
      <c r="Q84" s="1">
        <f t="shared" si="21"/>
        <v>0.51111111111111107</v>
      </c>
    </row>
    <row r="85" spans="1:17" x14ac:dyDescent="0.25">
      <c r="A85" t="s">
        <v>20</v>
      </c>
      <c r="B85">
        <v>4</v>
      </c>
      <c r="C85" t="s">
        <v>66</v>
      </c>
      <c r="D85">
        <v>57</v>
      </c>
      <c r="E85">
        <v>-30</v>
      </c>
      <c r="F85">
        <v>713</v>
      </c>
      <c r="G85">
        <v>648</v>
      </c>
      <c r="H85">
        <v>1920</v>
      </c>
      <c r="I85">
        <v>1080</v>
      </c>
      <c r="J85">
        <f t="shared" si="22"/>
        <v>413.5</v>
      </c>
      <c r="K85">
        <f t="shared" si="23"/>
        <v>354</v>
      </c>
      <c r="L85" s="1">
        <f t="shared" si="16"/>
        <v>0.53597475455820476</v>
      </c>
      <c r="M85" s="1">
        <f t="shared" si="17"/>
        <v>0.53703703703703698</v>
      </c>
      <c r="N85" s="1">
        <f t="shared" si="18"/>
        <v>0.50212058789153813</v>
      </c>
      <c r="O85" s="1">
        <f t="shared" si="19"/>
        <v>0.47222222222222215</v>
      </c>
      <c r="P85" s="1">
        <f t="shared" si="20"/>
        <v>0.56982892122487139</v>
      </c>
      <c r="Q85" s="1">
        <f t="shared" si="21"/>
        <v>0.60185185185185175</v>
      </c>
    </row>
    <row r="86" spans="1:17" x14ac:dyDescent="0.25">
      <c r="A86" t="s">
        <v>21</v>
      </c>
      <c r="B86">
        <v>1</v>
      </c>
      <c r="C86" t="s">
        <v>59</v>
      </c>
      <c r="D86">
        <v>-198.286</v>
      </c>
      <c r="E86">
        <v>206.929</v>
      </c>
      <c r="F86">
        <v>713</v>
      </c>
      <c r="G86">
        <v>648</v>
      </c>
      <c r="H86">
        <v>1920</v>
      </c>
      <c r="I86">
        <v>1080</v>
      </c>
      <c r="J86">
        <f t="shared" si="22"/>
        <v>158.214</v>
      </c>
      <c r="K86">
        <f t="shared" si="23"/>
        <v>117.071</v>
      </c>
      <c r="L86" s="1">
        <f t="shared" si="16"/>
        <v>0.37485455820476854</v>
      </c>
      <c r="M86" s="1">
        <f t="shared" si="17"/>
        <v>0.24453209876543214</v>
      </c>
      <c r="N86" s="1">
        <f t="shared" si="18"/>
        <v>0.34100039153810185</v>
      </c>
      <c r="O86" s="1">
        <f t="shared" si="19"/>
        <v>0.17971728395061731</v>
      </c>
      <c r="P86" s="1">
        <f t="shared" si="20"/>
        <v>0.40870872487143523</v>
      </c>
      <c r="Q86" s="1">
        <f t="shared" si="21"/>
        <v>0.30934691358024696</v>
      </c>
    </row>
    <row r="87" spans="1:17" x14ac:dyDescent="0.25">
      <c r="A87" t="s">
        <v>21</v>
      </c>
      <c r="B87">
        <v>2</v>
      </c>
      <c r="C87" t="s">
        <v>60</v>
      </c>
      <c r="D87">
        <v>-74.856999999999999</v>
      </c>
      <c r="E87">
        <v>45.929000000000002</v>
      </c>
      <c r="F87">
        <v>713</v>
      </c>
      <c r="G87">
        <v>648</v>
      </c>
      <c r="H87">
        <v>1920</v>
      </c>
      <c r="I87">
        <v>1080</v>
      </c>
      <c r="J87">
        <f t="shared" si="22"/>
        <v>281.64300000000003</v>
      </c>
      <c r="K87">
        <f t="shared" si="23"/>
        <v>278.07100000000003</v>
      </c>
      <c r="L87" s="1">
        <f t="shared" si="16"/>
        <v>0.45275504908835906</v>
      </c>
      <c r="M87" s="1">
        <f t="shared" si="17"/>
        <v>0.44329753086419754</v>
      </c>
      <c r="N87" s="1">
        <f t="shared" si="18"/>
        <v>0.41890088242169238</v>
      </c>
      <c r="O87" s="1">
        <f t="shared" si="19"/>
        <v>0.37848271604938272</v>
      </c>
      <c r="P87" s="1">
        <f t="shared" si="20"/>
        <v>0.48660921575502575</v>
      </c>
      <c r="Q87" s="1">
        <f t="shared" si="21"/>
        <v>0.50811234567901231</v>
      </c>
    </row>
    <row r="88" spans="1:17" x14ac:dyDescent="0.25">
      <c r="A88" t="s">
        <v>21</v>
      </c>
      <c r="B88">
        <v>3</v>
      </c>
      <c r="C88" t="s">
        <v>61</v>
      </c>
      <c r="D88">
        <v>182.857</v>
      </c>
      <c r="E88">
        <v>42.643000000000001</v>
      </c>
      <c r="F88">
        <v>713</v>
      </c>
      <c r="G88">
        <v>648</v>
      </c>
      <c r="H88">
        <v>1920</v>
      </c>
      <c r="I88">
        <v>1080</v>
      </c>
      <c r="J88">
        <f t="shared" si="22"/>
        <v>539.35699999999997</v>
      </c>
      <c r="K88">
        <f t="shared" si="23"/>
        <v>281.35699999999997</v>
      </c>
      <c r="L88" s="1">
        <f t="shared" si="16"/>
        <v>0.61540764375876578</v>
      </c>
      <c r="M88" s="1">
        <f t="shared" si="17"/>
        <v>0.44735432098765432</v>
      </c>
      <c r="N88" s="1">
        <f t="shared" si="18"/>
        <v>0.58155347709209915</v>
      </c>
      <c r="O88" s="1">
        <f t="shared" si="19"/>
        <v>0.38253950617283949</v>
      </c>
      <c r="P88" s="1">
        <f t="shared" si="20"/>
        <v>0.64926181042543241</v>
      </c>
      <c r="Q88" s="1">
        <f t="shared" si="21"/>
        <v>0.51216913580246914</v>
      </c>
    </row>
    <row r="89" spans="1:17" x14ac:dyDescent="0.25">
      <c r="A89" t="s">
        <v>21</v>
      </c>
      <c r="B89">
        <v>4</v>
      </c>
      <c r="C89" t="s">
        <v>62</v>
      </c>
      <c r="D89">
        <v>54.284999999999997</v>
      </c>
      <c r="E89">
        <v>-107.929</v>
      </c>
      <c r="F89">
        <v>713</v>
      </c>
      <c r="G89">
        <v>648</v>
      </c>
      <c r="H89">
        <v>1920</v>
      </c>
      <c r="I89">
        <v>1080</v>
      </c>
      <c r="J89">
        <f t="shared" si="22"/>
        <v>410.78499999999997</v>
      </c>
      <c r="K89">
        <f t="shared" si="23"/>
        <v>431.92899999999997</v>
      </c>
      <c r="L89" s="1">
        <f t="shared" si="16"/>
        <v>0.53426122019635347</v>
      </c>
      <c r="M89" s="1">
        <f t="shared" si="17"/>
        <v>0.63324567901234563</v>
      </c>
      <c r="N89" s="1">
        <f t="shared" si="18"/>
        <v>0.50040705352968684</v>
      </c>
      <c r="O89" s="1">
        <f t="shared" si="19"/>
        <v>0.56843086419753086</v>
      </c>
      <c r="P89" s="1">
        <f t="shared" si="20"/>
        <v>0.5681153868630201</v>
      </c>
      <c r="Q89" s="1">
        <f t="shared" si="21"/>
        <v>0.6980604938271604</v>
      </c>
    </row>
    <row r="90" spans="1:17" x14ac:dyDescent="0.25">
      <c r="A90" t="s">
        <v>22</v>
      </c>
      <c r="B90">
        <v>1</v>
      </c>
      <c r="C90" t="s">
        <v>59</v>
      </c>
      <c r="D90">
        <v>-74.856999999999999</v>
      </c>
      <c r="E90">
        <v>214.643</v>
      </c>
      <c r="F90">
        <v>713</v>
      </c>
      <c r="G90">
        <v>648</v>
      </c>
      <c r="H90">
        <v>1920</v>
      </c>
      <c r="I90">
        <v>1080</v>
      </c>
      <c r="J90">
        <f t="shared" si="22"/>
        <v>281.64300000000003</v>
      </c>
      <c r="K90">
        <f t="shared" si="23"/>
        <v>109.357</v>
      </c>
      <c r="L90" s="1">
        <f t="shared" si="16"/>
        <v>0.45275504908835906</v>
      </c>
      <c r="M90" s="1">
        <f t="shared" si="17"/>
        <v>0.23500864197530869</v>
      </c>
      <c r="N90" s="1">
        <f t="shared" si="18"/>
        <v>0.41890088242169238</v>
      </c>
      <c r="O90" s="1">
        <f t="shared" si="19"/>
        <v>0.17019382716049386</v>
      </c>
      <c r="P90" s="1">
        <f t="shared" si="20"/>
        <v>0.48660921575502575</v>
      </c>
      <c r="Q90" s="1">
        <f t="shared" si="21"/>
        <v>0.29982345679012351</v>
      </c>
    </row>
    <row r="91" spans="1:17" x14ac:dyDescent="0.25">
      <c r="A91" t="s">
        <v>22</v>
      </c>
      <c r="B91">
        <v>2</v>
      </c>
      <c r="C91" t="s">
        <v>60</v>
      </c>
      <c r="D91">
        <v>-74.856999999999999</v>
      </c>
      <c r="E91">
        <v>44.070999999999998</v>
      </c>
      <c r="F91">
        <v>713</v>
      </c>
      <c r="G91">
        <v>648</v>
      </c>
      <c r="H91">
        <v>1920</v>
      </c>
      <c r="I91">
        <v>1080</v>
      </c>
      <c r="J91">
        <f t="shared" si="22"/>
        <v>281.64300000000003</v>
      </c>
      <c r="K91">
        <f t="shared" si="23"/>
        <v>279.92899999999997</v>
      </c>
      <c r="L91" s="1">
        <f t="shared" si="16"/>
        <v>0.45275504908835906</v>
      </c>
      <c r="M91" s="1">
        <f t="shared" si="17"/>
        <v>0.44559135802469135</v>
      </c>
      <c r="N91" s="1">
        <f t="shared" si="18"/>
        <v>0.41890088242169238</v>
      </c>
      <c r="O91" s="1">
        <f t="shared" si="19"/>
        <v>0.38077654320987653</v>
      </c>
      <c r="P91" s="1">
        <f t="shared" si="20"/>
        <v>0.48660921575502575</v>
      </c>
      <c r="Q91" s="1">
        <f t="shared" si="21"/>
        <v>0.51040617283950618</v>
      </c>
    </row>
    <row r="92" spans="1:17" x14ac:dyDescent="0.25">
      <c r="A92" t="s">
        <v>22</v>
      </c>
      <c r="B92">
        <v>3</v>
      </c>
      <c r="C92" t="s">
        <v>62</v>
      </c>
      <c r="D92">
        <v>53.143000000000001</v>
      </c>
      <c r="E92">
        <v>44.070999999999998</v>
      </c>
      <c r="F92">
        <v>713</v>
      </c>
      <c r="G92">
        <v>648</v>
      </c>
      <c r="H92">
        <v>1920</v>
      </c>
      <c r="I92">
        <v>1080</v>
      </c>
      <c r="J92">
        <f t="shared" si="22"/>
        <v>409.64300000000003</v>
      </c>
      <c r="K92">
        <f t="shared" si="23"/>
        <v>279.92899999999997</v>
      </c>
      <c r="L92" s="1">
        <f t="shared" si="16"/>
        <v>0.53354046283309953</v>
      </c>
      <c r="M92" s="1">
        <f t="shared" si="17"/>
        <v>0.44559135802469135</v>
      </c>
      <c r="N92" s="1">
        <f t="shared" si="18"/>
        <v>0.49968629616643284</v>
      </c>
      <c r="O92" s="1">
        <f t="shared" si="19"/>
        <v>0.38077654320987653</v>
      </c>
      <c r="P92" s="1">
        <f t="shared" si="20"/>
        <v>0.56739462949976616</v>
      </c>
      <c r="Q92" s="1">
        <f t="shared" si="21"/>
        <v>0.51040617283950618</v>
      </c>
    </row>
    <row r="93" spans="1:17" x14ac:dyDescent="0.25">
      <c r="A93" t="s">
        <v>22</v>
      </c>
      <c r="B93">
        <v>4</v>
      </c>
      <c r="C93" t="s">
        <v>61</v>
      </c>
      <c r="D93">
        <v>185.857</v>
      </c>
      <c r="E93">
        <v>44.070999999999998</v>
      </c>
      <c r="F93">
        <v>713</v>
      </c>
      <c r="G93">
        <v>648</v>
      </c>
      <c r="H93">
        <v>1920</v>
      </c>
      <c r="I93">
        <v>1080</v>
      </c>
      <c r="J93">
        <f t="shared" si="22"/>
        <v>542.35699999999997</v>
      </c>
      <c r="K93">
        <f t="shared" si="23"/>
        <v>279.92899999999997</v>
      </c>
      <c r="L93" s="1">
        <f t="shared" si="16"/>
        <v>0.61730105189340811</v>
      </c>
      <c r="M93" s="1">
        <f t="shared" si="17"/>
        <v>0.44559135802469135</v>
      </c>
      <c r="N93" s="1">
        <f t="shared" si="18"/>
        <v>0.58344688522674149</v>
      </c>
      <c r="O93" s="1">
        <f t="shared" si="19"/>
        <v>0.38077654320987653</v>
      </c>
      <c r="P93" s="1">
        <f t="shared" si="20"/>
        <v>0.65115521856007474</v>
      </c>
      <c r="Q93" s="1">
        <f t="shared" si="21"/>
        <v>0.51040617283950618</v>
      </c>
    </row>
    <row r="94" spans="1:17" x14ac:dyDescent="0.25">
      <c r="A94" t="s">
        <v>23</v>
      </c>
      <c r="B94">
        <v>1</v>
      </c>
      <c r="C94" t="s">
        <v>71</v>
      </c>
      <c r="D94">
        <v>-130</v>
      </c>
      <c r="E94">
        <v>126.929</v>
      </c>
      <c r="F94">
        <v>713</v>
      </c>
      <c r="G94">
        <v>648</v>
      </c>
      <c r="H94">
        <v>1920</v>
      </c>
      <c r="I94">
        <v>1080</v>
      </c>
      <c r="J94">
        <f t="shared" si="22"/>
        <v>226.5</v>
      </c>
      <c r="K94">
        <f t="shared" si="23"/>
        <v>197.071</v>
      </c>
      <c r="L94" s="1">
        <f t="shared" si="16"/>
        <v>0.41795231416549788</v>
      </c>
      <c r="M94" s="1">
        <f t="shared" si="17"/>
        <v>0.34329753086419751</v>
      </c>
      <c r="N94" s="1">
        <f t="shared" si="18"/>
        <v>0.3840981474988312</v>
      </c>
      <c r="O94" s="1">
        <f t="shared" si="19"/>
        <v>0.27848271604938268</v>
      </c>
      <c r="P94" s="1">
        <f t="shared" si="20"/>
        <v>0.45180648083216457</v>
      </c>
      <c r="Q94" s="1">
        <f t="shared" si="21"/>
        <v>0.40811234567901233</v>
      </c>
    </row>
    <row r="95" spans="1:17" x14ac:dyDescent="0.25">
      <c r="A95" t="s">
        <v>23</v>
      </c>
      <c r="B95">
        <v>2</v>
      </c>
      <c r="C95" t="s">
        <v>70</v>
      </c>
      <c r="D95">
        <v>55.143000000000001</v>
      </c>
      <c r="E95">
        <v>42.643000000000001</v>
      </c>
      <c r="F95">
        <v>713</v>
      </c>
      <c r="G95">
        <v>648</v>
      </c>
      <c r="H95">
        <v>1920</v>
      </c>
      <c r="I95">
        <v>1080</v>
      </c>
      <c r="J95">
        <f t="shared" si="22"/>
        <v>411.64300000000003</v>
      </c>
      <c r="K95">
        <f t="shared" si="23"/>
        <v>281.35699999999997</v>
      </c>
      <c r="L95" s="1">
        <f t="shared" si="16"/>
        <v>0.53480273492286112</v>
      </c>
      <c r="M95" s="1">
        <f t="shared" si="17"/>
        <v>0.44735432098765432</v>
      </c>
      <c r="N95" s="1">
        <f t="shared" si="18"/>
        <v>0.50094856825619449</v>
      </c>
      <c r="O95" s="1">
        <f t="shared" si="19"/>
        <v>0.38253950617283949</v>
      </c>
      <c r="P95" s="1">
        <f t="shared" si="20"/>
        <v>0.56865690158952775</v>
      </c>
      <c r="Q95" s="1">
        <f t="shared" si="21"/>
        <v>0.51216913580246914</v>
      </c>
    </row>
    <row r="96" spans="1:17" x14ac:dyDescent="0.25">
      <c r="A96" t="s">
        <v>23</v>
      </c>
      <c r="B96">
        <v>3</v>
      </c>
      <c r="C96" t="s">
        <v>56</v>
      </c>
      <c r="D96">
        <v>118</v>
      </c>
      <c r="E96" s="2">
        <v>-109.357</v>
      </c>
      <c r="F96">
        <v>713</v>
      </c>
      <c r="G96">
        <v>648</v>
      </c>
      <c r="H96">
        <v>1920</v>
      </c>
      <c r="I96">
        <v>1080</v>
      </c>
      <c r="J96">
        <f t="shared" si="22"/>
        <v>474.5</v>
      </c>
      <c r="K96">
        <f xml:space="preserve"> G96/2 - E96</f>
        <v>433.35699999999997</v>
      </c>
      <c r="L96" s="1">
        <f t="shared" si="16"/>
        <v>0.57447405329593271</v>
      </c>
      <c r="M96" s="1">
        <f t="shared" si="17"/>
        <v>0.63500864197530871</v>
      </c>
      <c r="N96" s="1">
        <f t="shared" si="18"/>
        <v>0.54061988662926608</v>
      </c>
      <c r="O96" s="1">
        <f t="shared" si="19"/>
        <v>0.57019382716049394</v>
      </c>
      <c r="P96" s="1">
        <f t="shared" si="20"/>
        <v>0.60832821996259934</v>
      </c>
      <c r="Q96" s="1">
        <f t="shared" si="21"/>
        <v>0.69982345679012348</v>
      </c>
    </row>
    <row r="97" spans="1:17" x14ac:dyDescent="0.25">
      <c r="A97" t="s">
        <v>23</v>
      </c>
      <c r="B97">
        <v>4</v>
      </c>
      <c r="C97" t="s">
        <v>54</v>
      </c>
      <c r="D97">
        <v>242.857</v>
      </c>
      <c r="E97" s="2">
        <v>-109.357</v>
      </c>
      <c r="F97">
        <v>713</v>
      </c>
      <c r="G97">
        <v>648</v>
      </c>
      <c r="H97">
        <v>1920</v>
      </c>
      <c r="I97">
        <v>1080</v>
      </c>
      <c r="J97">
        <f t="shared" si="22"/>
        <v>599.35699999999997</v>
      </c>
      <c r="K97">
        <f t="shared" si="23"/>
        <v>433.35699999999997</v>
      </c>
      <c r="L97" s="1">
        <f t="shared" si="16"/>
        <v>0.65327580645161287</v>
      </c>
      <c r="M97" s="1">
        <f t="shared" si="17"/>
        <v>0.63500864197530871</v>
      </c>
      <c r="N97" s="1">
        <f t="shared" si="18"/>
        <v>0.61942163978494624</v>
      </c>
      <c r="O97" s="1">
        <f t="shared" si="19"/>
        <v>0.57019382716049394</v>
      </c>
      <c r="P97" s="1">
        <f t="shared" si="20"/>
        <v>0.6871299731182795</v>
      </c>
      <c r="Q97" s="1">
        <f t="shared" si="21"/>
        <v>0.69982345679012348</v>
      </c>
    </row>
    <row r="98" spans="1:17" x14ac:dyDescent="0.25">
      <c r="A98" t="s">
        <v>24</v>
      </c>
      <c r="B98">
        <v>1</v>
      </c>
      <c r="C98" t="s">
        <v>67</v>
      </c>
      <c r="D98">
        <v>56.570999999999998</v>
      </c>
      <c r="E98">
        <v>127.5</v>
      </c>
      <c r="F98">
        <v>713</v>
      </c>
      <c r="G98">
        <v>648</v>
      </c>
      <c r="H98">
        <v>1920</v>
      </c>
      <c r="I98">
        <v>1080</v>
      </c>
      <c r="J98">
        <f t="shared" si="22"/>
        <v>413.07100000000003</v>
      </c>
      <c r="K98">
        <f t="shared" si="23"/>
        <v>196.5</v>
      </c>
      <c r="L98" s="1">
        <f t="shared" si="16"/>
        <v>0.53570399719495088</v>
      </c>
      <c r="M98" s="1">
        <f t="shared" si="17"/>
        <v>0.34259259259259256</v>
      </c>
      <c r="N98" s="1">
        <f t="shared" si="18"/>
        <v>0.50184983052828425</v>
      </c>
      <c r="O98" s="1">
        <f t="shared" si="19"/>
        <v>0.27777777777777773</v>
      </c>
      <c r="P98" s="1">
        <f t="shared" si="20"/>
        <v>0.56955816386161751</v>
      </c>
      <c r="Q98" s="1">
        <f t="shared" si="21"/>
        <v>0.40740740740740738</v>
      </c>
    </row>
    <row r="99" spans="1:17" x14ac:dyDescent="0.25">
      <c r="A99" t="s">
        <v>24</v>
      </c>
      <c r="B99">
        <v>2</v>
      </c>
      <c r="C99" t="s">
        <v>49</v>
      </c>
      <c r="D99">
        <v>300.85700000000003</v>
      </c>
      <c r="E99">
        <v>28.356999999999999</v>
      </c>
      <c r="F99">
        <v>713</v>
      </c>
      <c r="G99">
        <v>648</v>
      </c>
      <c r="H99">
        <v>1920</v>
      </c>
      <c r="I99">
        <v>1080</v>
      </c>
      <c r="J99">
        <f t="shared" si="22"/>
        <v>657.35699999999997</v>
      </c>
      <c r="K99">
        <f t="shared" si="23"/>
        <v>295.64300000000003</v>
      </c>
      <c r="L99" s="1">
        <f t="shared" si="16"/>
        <v>0.68988169705469848</v>
      </c>
      <c r="M99" s="1">
        <f t="shared" si="17"/>
        <v>0.46499135802469138</v>
      </c>
      <c r="N99" s="1">
        <f t="shared" si="18"/>
        <v>0.65602753038803185</v>
      </c>
      <c r="O99" s="1">
        <f t="shared" si="19"/>
        <v>0.40017654320987656</v>
      </c>
      <c r="P99" s="1">
        <f t="shared" si="20"/>
        <v>0.72373586372136511</v>
      </c>
      <c r="Q99" s="1">
        <f t="shared" si="21"/>
        <v>0.52980617283950615</v>
      </c>
    </row>
    <row r="100" spans="1:17" x14ac:dyDescent="0.25">
      <c r="A100" t="s">
        <v>24</v>
      </c>
      <c r="B100">
        <v>3</v>
      </c>
      <c r="C100" t="s">
        <v>63</v>
      </c>
      <c r="D100">
        <v>56.570999999999998</v>
      </c>
      <c r="E100">
        <v>-28.786000000000001</v>
      </c>
      <c r="F100">
        <v>713</v>
      </c>
      <c r="G100">
        <v>648</v>
      </c>
      <c r="H100">
        <v>1920</v>
      </c>
      <c r="I100">
        <v>1080</v>
      </c>
      <c r="J100">
        <f t="shared" si="22"/>
        <v>413.07100000000003</v>
      </c>
      <c r="K100">
        <f t="shared" si="23"/>
        <v>352.786</v>
      </c>
      <c r="L100" s="1">
        <f t="shared" si="16"/>
        <v>0.53570399719495088</v>
      </c>
      <c r="M100" s="1">
        <f t="shared" si="17"/>
        <v>0.53553827160493828</v>
      </c>
      <c r="N100" s="1">
        <f t="shared" si="18"/>
        <v>0.50184983052828425</v>
      </c>
      <c r="O100" s="1">
        <f t="shared" si="19"/>
        <v>0.47072345679012345</v>
      </c>
      <c r="P100" s="1">
        <f t="shared" si="20"/>
        <v>0.56955816386161751</v>
      </c>
      <c r="Q100" s="1">
        <f t="shared" si="21"/>
        <v>0.60035308641975305</v>
      </c>
    </row>
    <row r="101" spans="1:17" x14ac:dyDescent="0.25">
      <c r="A101" t="s">
        <v>24</v>
      </c>
      <c r="B101">
        <v>4</v>
      </c>
      <c r="C101" t="s">
        <v>65</v>
      </c>
      <c r="D101">
        <v>-76.286000000000001</v>
      </c>
      <c r="E101">
        <v>-108.786</v>
      </c>
      <c r="F101">
        <v>713</v>
      </c>
      <c r="G101">
        <v>648</v>
      </c>
      <c r="H101">
        <v>1920</v>
      </c>
      <c r="I101">
        <v>1080</v>
      </c>
      <c r="J101">
        <f t="shared" si="22"/>
        <v>280.214</v>
      </c>
      <c r="K101">
        <f t="shared" si="23"/>
        <v>432.786</v>
      </c>
      <c r="L101" s="1">
        <f t="shared" si="16"/>
        <v>0.45185315568022438</v>
      </c>
      <c r="M101" s="1">
        <f t="shared" si="17"/>
        <v>0.6343037037037037</v>
      </c>
      <c r="N101" s="1">
        <f t="shared" si="18"/>
        <v>0.4179989890135577</v>
      </c>
      <c r="O101" s="1">
        <f t="shared" si="19"/>
        <v>0.56948888888888893</v>
      </c>
      <c r="P101" s="1">
        <f t="shared" si="20"/>
        <v>0.48570732234689107</v>
      </c>
      <c r="Q101" s="1">
        <f t="shared" si="21"/>
        <v>0.69911851851851847</v>
      </c>
    </row>
    <row r="102" spans="1:17" x14ac:dyDescent="0.25">
      <c r="A102" t="s">
        <v>25</v>
      </c>
      <c r="B102">
        <v>1</v>
      </c>
      <c r="C102" t="s">
        <v>63</v>
      </c>
      <c r="D102">
        <v>53.713999999999999</v>
      </c>
      <c r="E102">
        <v>185.5</v>
      </c>
      <c r="F102">
        <v>713</v>
      </c>
      <c r="G102">
        <v>648</v>
      </c>
      <c r="H102">
        <v>1920</v>
      </c>
      <c r="I102">
        <v>1080</v>
      </c>
      <c r="J102">
        <f t="shared" si="22"/>
        <v>410.214</v>
      </c>
      <c r="K102">
        <f t="shared" si="23"/>
        <v>138.5</v>
      </c>
      <c r="L102" s="1">
        <f t="shared" si="16"/>
        <v>0.5339008415147265</v>
      </c>
      <c r="M102" s="1">
        <f t="shared" si="17"/>
        <v>0.2709876543209877</v>
      </c>
      <c r="N102" s="1">
        <f t="shared" si="18"/>
        <v>0.50004667484805987</v>
      </c>
      <c r="O102" s="1">
        <f t="shared" si="19"/>
        <v>0.20617283950617288</v>
      </c>
      <c r="P102" s="1">
        <f t="shared" si="20"/>
        <v>0.56775500818139313</v>
      </c>
      <c r="Q102" s="1">
        <f t="shared" si="21"/>
        <v>0.33580246913580253</v>
      </c>
    </row>
    <row r="103" spans="1:17" x14ac:dyDescent="0.25">
      <c r="A103" t="s">
        <v>25</v>
      </c>
      <c r="B103">
        <v>2</v>
      </c>
      <c r="C103" t="s">
        <v>55</v>
      </c>
      <c r="D103">
        <v>-136.286</v>
      </c>
      <c r="E103">
        <v>44.643000000000001</v>
      </c>
      <c r="F103">
        <v>713</v>
      </c>
      <c r="G103">
        <v>648</v>
      </c>
      <c r="H103">
        <v>1920</v>
      </c>
      <c r="I103">
        <v>1080</v>
      </c>
      <c r="J103">
        <f t="shared" si="22"/>
        <v>220.214</v>
      </c>
      <c r="K103">
        <f t="shared" si="23"/>
        <v>279.35699999999997</v>
      </c>
      <c r="L103" s="1">
        <f t="shared" si="16"/>
        <v>0.41398499298737729</v>
      </c>
      <c r="M103" s="1">
        <f t="shared" si="17"/>
        <v>0.44488518518518516</v>
      </c>
      <c r="N103" s="1">
        <f t="shared" si="18"/>
        <v>0.3801308263207106</v>
      </c>
      <c r="O103" s="1">
        <f t="shared" si="19"/>
        <v>0.38007037037037034</v>
      </c>
      <c r="P103" s="1">
        <f t="shared" si="20"/>
        <v>0.44783915965404397</v>
      </c>
      <c r="Q103" s="1">
        <f t="shared" si="21"/>
        <v>0.50969999999999993</v>
      </c>
    </row>
    <row r="104" spans="1:17" x14ac:dyDescent="0.25">
      <c r="A104" t="s">
        <v>25</v>
      </c>
      <c r="B104">
        <v>3</v>
      </c>
      <c r="C104" t="s">
        <v>69</v>
      </c>
      <c r="D104">
        <v>242.285</v>
      </c>
      <c r="E104">
        <v>-35.929000000000002</v>
      </c>
      <c r="F104">
        <v>713</v>
      </c>
      <c r="G104">
        <v>648</v>
      </c>
      <c r="H104">
        <v>1920</v>
      </c>
      <c r="I104">
        <v>1080</v>
      </c>
      <c r="J104">
        <f t="shared" si="22"/>
        <v>598.78499999999997</v>
      </c>
      <c r="K104">
        <f t="shared" si="23"/>
        <v>359.92899999999997</v>
      </c>
      <c r="L104" s="1">
        <f t="shared" si="16"/>
        <v>0.65291479663394103</v>
      </c>
      <c r="M104" s="1">
        <f t="shared" si="17"/>
        <v>0.54435679012345684</v>
      </c>
      <c r="N104" s="1">
        <f t="shared" si="18"/>
        <v>0.6190606299672744</v>
      </c>
      <c r="O104" s="1">
        <f t="shared" si="19"/>
        <v>0.47954197530864201</v>
      </c>
      <c r="P104" s="1">
        <f t="shared" si="20"/>
        <v>0.68676896330060766</v>
      </c>
      <c r="Q104" s="1">
        <f t="shared" si="21"/>
        <v>0.6091716049382716</v>
      </c>
    </row>
    <row r="105" spans="1:17" x14ac:dyDescent="0.25">
      <c r="A105" t="s">
        <v>25</v>
      </c>
      <c r="B105">
        <v>4</v>
      </c>
      <c r="C105" t="s">
        <v>60</v>
      </c>
      <c r="D105">
        <v>-10.571999999999999</v>
      </c>
      <c r="E105">
        <v>-109.357</v>
      </c>
      <c r="F105">
        <v>713</v>
      </c>
      <c r="G105">
        <v>648</v>
      </c>
      <c r="H105">
        <v>1920</v>
      </c>
      <c r="I105">
        <v>1080</v>
      </c>
      <c r="J105">
        <f t="shared" si="22"/>
        <v>345.928</v>
      </c>
      <c r="K105">
        <f t="shared" si="23"/>
        <v>433.35699999999997</v>
      </c>
      <c r="L105" s="1">
        <f t="shared" si="16"/>
        <v>0.49332762973352035</v>
      </c>
      <c r="M105" s="1">
        <f t="shared" si="17"/>
        <v>0.63500864197530871</v>
      </c>
      <c r="N105" s="1">
        <f t="shared" si="18"/>
        <v>0.45947346306685366</v>
      </c>
      <c r="O105" s="1">
        <f t="shared" si="19"/>
        <v>0.57019382716049394</v>
      </c>
      <c r="P105" s="1">
        <f t="shared" si="20"/>
        <v>0.52718179640018703</v>
      </c>
      <c r="Q105" s="1">
        <f t="shared" si="21"/>
        <v>0.69982345679012348</v>
      </c>
    </row>
    <row r="106" spans="1:17" x14ac:dyDescent="0.25">
      <c r="A106" t="s">
        <v>26</v>
      </c>
      <c r="B106">
        <v>1</v>
      </c>
      <c r="C106" t="s">
        <v>60</v>
      </c>
      <c r="D106">
        <v>-196.286</v>
      </c>
      <c r="E106">
        <v>186.929</v>
      </c>
      <c r="F106">
        <v>713</v>
      </c>
      <c r="G106">
        <v>648</v>
      </c>
      <c r="H106">
        <v>1920</v>
      </c>
      <c r="I106">
        <v>1080</v>
      </c>
      <c r="J106">
        <f t="shared" si="22"/>
        <v>160.214</v>
      </c>
      <c r="K106">
        <f t="shared" si="23"/>
        <v>137.071</v>
      </c>
      <c r="L106" s="1">
        <f t="shared" si="16"/>
        <v>0.37611683029453014</v>
      </c>
      <c r="M106" s="1">
        <f t="shared" si="17"/>
        <v>0.26922345679012344</v>
      </c>
      <c r="N106" s="1">
        <f t="shared" si="18"/>
        <v>0.34226266362786345</v>
      </c>
      <c r="O106" s="1">
        <f t="shared" si="19"/>
        <v>0.20440864197530861</v>
      </c>
      <c r="P106" s="1">
        <f t="shared" si="20"/>
        <v>0.40997099696119682</v>
      </c>
      <c r="Q106" s="1">
        <f t="shared" si="21"/>
        <v>0.33403827160493826</v>
      </c>
    </row>
    <row r="107" spans="1:17" x14ac:dyDescent="0.25">
      <c r="A107" t="s">
        <v>26</v>
      </c>
      <c r="B107">
        <v>2</v>
      </c>
      <c r="C107" t="s">
        <v>55</v>
      </c>
      <c r="D107">
        <v>-74.856999999999999</v>
      </c>
      <c r="E107">
        <v>186.929</v>
      </c>
      <c r="F107">
        <v>713</v>
      </c>
      <c r="G107">
        <v>648</v>
      </c>
      <c r="H107">
        <v>1920</v>
      </c>
      <c r="I107">
        <v>1080</v>
      </c>
      <c r="J107">
        <f t="shared" si="22"/>
        <v>281.64300000000003</v>
      </c>
      <c r="K107">
        <f t="shared" si="23"/>
        <v>137.071</v>
      </c>
      <c r="L107" s="1">
        <f t="shared" si="16"/>
        <v>0.45275504908835906</v>
      </c>
      <c r="M107" s="1">
        <f t="shared" si="17"/>
        <v>0.26922345679012344</v>
      </c>
      <c r="N107" s="1">
        <f t="shared" si="18"/>
        <v>0.41890088242169238</v>
      </c>
      <c r="O107" s="1">
        <f t="shared" si="19"/>
        <v>0.20440864197530861</v>
      </c>
      <c r="P107" s="1">
        <f t="shared" si="20"/>
        <v>0.48660921575502575</v>
      </c>
      <c r="Q107" s="1">
        <f t="shared" si="21"/>
        <v>0.33403827160493826</v>
      </c>
    </row>
    <row r="108" spans="1:17" x14ac:dyDescent="0.25">
      <c r="A108" t="s">
        <v>26</v>
      </c>
      <c r="B108">
        <v>3</v>
      </c>
      <c r="C108" t="s">
        <v>63</v>
      </c>
      <c r="D108">
        <v>55.143000000000001</v>
      </c>
      <c r="E108">
        <v>186.929</v>
      </c>
      <c r="F108">
        <v>713</v>
      </c>
      <c r="G108">
        <v>648</v>
      </c>
      <c r="H108">
        <v>1920</v>
      </c>
      <c r="I108">
        <v>1080</v>
      </c>
      <c r="J108">
        <f t="shared" si="22"/>
        <v>411.64300000000003</v>
      </c>
      <c r="K108">
        <f t="shared" si="23"/>
        <v>137.071</v>
      </c>
      <c r="L108" s="1">
        <f t="shared" si="16"/>
        <v>0.53480273492286112</v>
      </c>
      <c r="M108" s="1">
        <f t="shared" si="17"/>
        <v>0.26922345679012344</v>
      </c>
      <c r="N108" s="1">
        <f t="shared" si="18"/>
        <v>0.50094856825619449</v>
      </c>
      <c r="O108" s="1">
        <f t="shared" si="19"/>
        <v>0.20440864197530861</v>
      </c>
      <c r="P108" s="1">
        <f t="shared" si="20"/>
        <v>0.56865690158952775</v>
      </c>
      <c r="Q108" s="1">
        <f t="shared" si="21"/>
        <v>0.33403827160493826</v>
      </c>
    </row>
    <row r="109" spans="1:17" x14ac:dyDescent="0.25">
      <c r="A109" t="s">
        <v>26</v>
      </c>
      <c r="B109">
        <v>4</v>
      </c>
      <c r="C109" t="s">
        <v>69</v>
      </c>
      <c r="D109">
        <v>300.85700000000003</v>
      </c>
      <c r="E109">
        <v>-103.071</v>
      </c>
      <c r="F109">
        <v>713</v>
      </c>
      <c r="G109">
        <v>648</v>
      </c>
      <c r="H109">
        <v>1920</v>
      </c>
      <c r="I109">
        <v>1080</v>
      </c>
      <c r="J109">
        <f t="shared" si="22"/>
        <v>657.35699999999997</v>
      </c>
      <c r="K109">
        <f t="shared" si="23"/>
        <v>427.07100000000003</v>
      </c>
      <c r="L109" s="1">
        <f t="shared" si="16"/>
        <v>0.68988169705469848</v>
      </c>
      <c r="M109" s="1">
        <f t="shared" si="17"/>
        <v>0.62724814814814811</v>
      </c>
      <c r="N109" s="1">
        <f t="shared" si="18"/>
        <v>0.65602753038803185</v>
      </c>
      <c r="O109" s="1">
        <f t="shared" si="19"/>
        <v>0.56243333333333334</v>
      </c>
      <c r="P109" s="1">
        <f t="shared" si="20"/>
        <v>0.72373586372136511</v>
      </c>
      <c r="Q109" s="1">
        <f t="shared" si="21"/>
        <v>0.69206296296296288</v>
      </c>
    </row>
    <row r="110" spans="1:17" x14ac:dyDescent="0.25">
      <c r="A110" t="s">
        <v>27</v>
      </c>
      <c r="B110">
        <v>1</v>
      </c>
      <c r="C110" t="s">
        <v>63</v>
      </c>
      <c r="D110">
        <v>-12</v>
      </c>
      <c r="E110">
        <v>125.5</v>
      </c>
      <c r="F110">
        <v>713</v>
      </c>
      <c r="G110">
        <v>648</v>
      </c>
      <c r="H110">
        <v>1920</v>
      </c>
      <c r="I110">
        <v>1080</v>
      </c>
      <c r="J110">
        <f t="shared" si="22"/>
        <v>344.5</v>
      </c>
      <c r="K110">
        <f t="shared" si="23"/>
        <v>198.5</v>
      </c>
      <c r="L110" s="1">
        <f t="shared" si="16"/>
        <v>0.49242636746143059</v>
      </c>
      <c r="M110" s="1">
        <f t="shared" si="17"/>
        <v>0.34506172839506172</v>
      </c>
      <c r="N110" s="1">
        <f t="shared" si="18"/>
        <v>0.45857220079476391</v>
      </c>
      <c r="O110" s="1">
        <f t="shared" si="19"/>
        <v>0.28024691358024689</v>
      </c>
      <c r="P110" s="1">
        <f t="shared" si="20"/>
        <v>0.52628053412809728</v>
      </c>
      <c r="Q110" s="1">
        <f t="shared" si="21"/>
        <v>0.40987654320987654</v>
      </c>
    </row>
    <row r="111" spans="1:17" x14ac:dyDescent="0.25">
      <c r="A111" t="s">
        <v>27</v>
      </c>
      <c r="B111">
        <v>2</v>
      </c>
      <c r="C111" t="s">
        <v>67</v>
      </c>
      <c r="D111">
        <v>246.571</v>
      </c>
      <c r="E111">
        <v>125.5</v>
      </c>
      <c r="F111">
        <v>713</v>
      </c>
      <c r="G111">
        <v>648</v>
      </c>
      <c r="H111">
        <v>1920</v>
      </c>
      <c r="I111">
        <v>1080</v>
      </c>
      <c r="J111">
        <f t="shared" si="22"/>
        <v>603.07100000000003</v>
      </c>
      <c r="K111">
        <f t="shared" si="23"/>
        <v>198.5</v>
      </c>
      <c r="L111" s="1">
        <f t="shared" si="16"/>
        <v>0.65561984572230014</v>
      </c>
      <c r="M111" s="1">
        <f t="shared" si="17"/>
        <v>0.34506172839506172</v>
      </c>
      <c r="N111" s="1">
        <f t="shared" si="18"/>
        <v>0.62176567905563351</v>
      </c>
      <c r="O111" s="1">
        <f t="shared" si="19"/>
        <v>0.28024691358024689</v>
      </c>
      <c r="P111" s="1">
        <f t="shared" si="20"/>
        <v>0.68947401238896677</v>
      </c>
      <c r="Q111" s="1">
        <f t="shared" si="21"/>
        <v>0.40987654320987654</v>
      </c>
    </row>
    <row r="112" spans="1:17" x14ac:dyDescent="0.25">
      <c r="A112" t="s">
        <v>27</v>
      </c>
      <c r="B112">
        <v>3</v>
      </c>
      <c r="C112" t="s">
        <v>49</v>
      </c>
      <c r="D112">
        <v>246.571</v>
      </c>
      <c r="E112">
        <v>-36.786000000000001</v>
      </c>
      <c r="F112">
        <v>713</v>
      </c>
      <c r="G112">
        <v>648</v>
      </c>
      <c r="H112">
        <v>1920</v>
      </c>
      <c r="I112">
        <v>1080</v>
      </c>
      <c r="J112">
        <f t="shared" si="22"/>
        <v>603.07100000000003</v>
      </c>
      <c r="K112">
        <f t="shared" si="23"/>
        <v>360.786</v>
      </c>
      <c r="L112" s="1">
        <f t="shared" si="16"/>
        <v>0.65561984572230014</v>
      </c>
      <c r="M112" s="1">
        <f t="shared" si="17"/>
        <v>0.5454148148148148</v>
      </c>
      <c r="N112" s="1">
        <f t="shared" si="18"/>
        <v>0.62176567905563351</v>
      </c>
      <c r="O112" s="1">
        <f t="shared" si="19"/>
        <v>0.48059999999999997</v>
      </c>
      <c r="P112" s="1">
        <f t="shared" si="20"/>
        <v>0.68947401238896677</v>
      </c>
      <c r="Q112" s="1">
        <f t="shared" si="21"/>
        <v>0.61022962962962957</v>
      </c>
    </row>
    <row r="113" spans="1:17" x14ac:dyDescent="0.25">
      <c r="A113" t="s">
        <v>27</v>
      </c>
      <c r="B113">
        <v>4</v>
      </c>
      <c r="C113" t="s">
        <v>65</v>
      </c>
      <c r="D113">
        <v>-12</v>
      </c>
      <c r="E113">
        <v>-110.214</v>
      </c>
      <c r="F113">
        <v>713</v>
      </c>
      <c r="G113">
        <v>648</v>
      </c>
      <c r="H113">
        <v>1920</v>
      </c>
      <c r="I113">
        <v>1080</v>
      </c>
      <c r="J113">
        <f t="shared" si="22"/>
        <v>344.5</v>
      </c>
      <c r="K113">
        <f t="shared" si="23"/>
        <v>434.214</v>
      </c>
      <c r="L113" s="1">
        <f t="shared" si="16"/>
        <v>0.49242636746143059</v>
      </c>
      <c r="M113" s="1">
        <f t="shared" si="17"/>
        <v>0.63606666666666667</v>
      </c>
      <c r="N113" s="1">
        <f t="shared" si="18"/>
        <v>0.45857220079476391</v>
      </c>
      <c r="O113" s="1">
        <f t="shared" si="19"/>
        <v>0.5712518518518519</v>
      </c>
      <c r="P113" s="1">
        <f t="shared" si="20"/>
        <v>0.52628053412809728</v>
      </c>
      <c r="Q113" s="1">
        <f t="shared" si="21"/>
        <v>0.70088148148148144</v>
      </c>
    </row>
    <row r="114" spans="1:17" x14ac:dyDescent="0.25">
      <c r="A114" t="s">
        <v>28</v>
      </c>
      <c r="B114">
        <v>1</v>
      </c>
      <c r="C114" t="s">
        <v>62</v>
      </c>
      <c r="D114">
        <v>-197.715</v>
      </c>
      <c r="E114">
        <v>166.072</v>
      </c>
      <c r="F114">
        <v>713</v>
      </c>
      <c r="G114">
        <v>648</v>
      </c>
      <c r="H114">
        <v>1920</v>
      </c>
      <c r="I114">
        <v>1080</v>
      </c>
      <c r="J114">
        <f t="shared" si="22"/>
        <v>158.785</v>
      </c>
      <c r="K114">
        <f t="shared" si="23"/>
        <v>157.928</v>
      </c>
      <c r="L114" s="1">
        <f t="shared" si="16"/>
        <v>0.37521493688639551</v>
      </c>
      <c r="M114" s="1">
        <f t="shared" si="17"/>
        <v>0.29497283950617281</v>
      </c>
      <c r="N114" s="1">
        <f t="shared" si="18"/>
        <v>0.34136077021972883</v>
      </c>
      <c r="O114" s="1">
        <f t="shared" si="19"/>
        <v>0.23015802469135799</v>
      </c>
      <c r="P114" s="1">
        <f t="shared" si="20"/>
        <v>0.4090691035530622</v>
      </c>
      <c r="Q114" s="1">
        <f t="shared" si="21"/>
        <v>0.35978765432098764</v>
      </c>
    </row>
    <row r="115" spans="1:17" x14ac:dyDescent="0.25">
      <c r="A115" t="s">
        <v>28</v>
      </c>
      <c r="B115">
        <v>2</v>
      </c>
      <c r="C115" t="s">
        <v>71</v>
      </c>
      <c r="D115">
        <v>185.714</v>
      </c>
      <c r="E115">
        <v>160.072</v>
      </c>
      <c r="F115">
        <v>713</v>
      </c>
      <c r="G115">
        <v>648</v>
      </c>
      <c r="H115">
        <v>1920</v>
      </c>
      <c r="I115">
        <v>1080</v>
      </c>
      <c r="J115">
        <f t="shared" si="22"/>
        <v>542.21399999999994</v>
      </c>
      <c r="K115">
        <f t="shared" si="23"/>
        <v>163.928</v>
      </c>
      <c r="L115" s="1">
        <f t="shared" si="16"/>
        <v>0.61721079943899015</v>
      </c>
      <c r="M115" s="1">
        <f t="shared" si="17"/>
        <v>0.30238024691358023</v>
      </c>
      <c r="N115" s="1">
        <f t="shared" si="18"/>
        <v>0.58335663277232352</v>
      </c>
      <c r="O115" s="1">
        <f t="shared" si="19"/>
        <v>0.23756543209876541</v>
      </c>
      <c r="P115" s="1">
        <f t="shared" si="20"/>
        <v>0.65106496610565678</v>
      </c>
      <c r="Q115" s="1">
        <f t="shared" si="21"/>
        <v>0.36719506172839506</v>
      </c>
    </row>
    <row r="116" spans="1:17" x14ac:dyDescent="0.25">
      <c r="A116" t="s">
        <v>28</v>
      </c>
      <c r="B116">
        <v>3</v>
      </c>
      <c r="C116" t="s">
        <v>74</v>
      </c>
      <c r="D116">
        <v>-11.143000000000001</v>
      </c>
      <c r="E116">
        <v>44.070999999999998</v>
      </c>
      <c r="F116">
        <v>713</v>
      </c>
      <c r="G116">
        <v>648</v>
      </c>
      <c r="H116">
        <v>1920</v>
      </c>
      <c r="I116">
        <v>1080</v>
      </c>
      <c r="J116">
        <f t="shared" si="22"/>
        <v>345.35699999999997</v>
      </c>
      <c r="K116">
        <f t="shared" si="23"/>
        <v>279.92899999999997</v>
      </c>
      <c r="L116" s="1">
        <f t="shared" si="16"/>
        <v>0.49296725105189343</v>
      </c>
      <c r="M116" s="1">
        <f t="shared" si="17"/>
        <v>0.44559135802469135</v>
      </c>
      <c r="N116" s="1">
        <f t="shared" si="18"/>
        <v>0.45911308438522674</v>
      </c>
      <c r="O116" s="1">
        <f t="shared" si="19"/>
        <v>0.38077654320987653</v>
      </c>
      <c r="P116" s="1">
        <f t="shared" si="20"/>
        <v>0.52682141771856006</v>
      </c>
      <c r="Q116" s="1">
        <f t="shared" si="21"/>
        <v>0.51040617283950618</v>
      </c>
    </row>
    <row r="117" spans="1:17" x14ac:dyDescent="0.25">
      <c r="A117" t="s">
        <v>28</v>
      </c>
      <c r="B117">
        <v>4</v>
      </c>
      <c r="C117" t="s">
        <v>75</v>
      </c>
      <c r="D117">
        <v>53.713999999999999</v>
      </c>
      <c r="E117">
        <v>-110.214</v>
      </c>
      <c r="F117">
        <v>713</v>
      </c>
      <c r="G117">
        <v>648</v>
      </c>
      <c r="H117">
        <v>1920</v>
      </c>
      <c r="I117">
        <v>1080</v>
      </c>
      <c r="J117">
        <f t="shared" si="22"/>
        <v>410.214</v>
      </c>
      <c r="K117">
        <f t="shared" si="23"/>
        <v>434.214</v>
      </c>
      <c r="L117" s="1">
        <f t="shared" si="16"/>
        <v>0.5339008415147265</v>
      </c>
      <c r="M117" s="1">
        <f t="shared" si="17"/>
        <v>0.63606666666666667</v>
      </c>
      <c r="N117" s="1">
        <f t="shared" si="18"/>
        <v>0.50004667484805987</v>
      </c>
      <c r="O117" s="1">
        <f t="shared" si="19"/>
        <v>0.5712518518518519</v>
      </c>
      <c r="P117" s="1">
        <f t="shared" si="20"/>
        <v>0.56775500818139313</v>
      </c>
      <c r="Q117" s="1">
        <f t="shared" si="21"/>
        <v>0.70088148148148144</v>
      </c>
    </row>
    <row r="118" spans="1:17" x14ac:dyDescent="0.25">
      <c r="A118" t="s">
        <v>29</v>
      </c>
      <c r="B118">
        <v>1</v>
      </c>
      <c r="C118" t="s">
        <v>75</v>
      </c>
      <c r="D118">
        <v>120.428</v>
      </c>
      <c r="E118">
        <v>205.357</v>
      </c>
      <c r="F118">
        <v>713</v>
      </c>
      <c r="G118">
        <v>648</v>
      </c>
      <c r="H118">
        <v>1920</v>
      </c>
      <c r="I118">
        <v>1080</v>
      </c>
      <c r="J118">
        <f t="shared" si="22"/>
        <v>476.928</v>
      </c>
      <c r="K118">
        <f t="shared" si="23"/>
        <v>118.643</v>
      </c>
      <c r="L118" s="1">
        <f t="shared" si="16"/>
        <v>0.5760064516129032</v>
      </c>
      <c r="M118" s="1">
        <f t="shared" si="17"/>
        <v>0.24647283950617282</v>
      </c>
      <c r="N118" s="1">
        <f t="shared" si="18"/>
        <v>0.54215228494623657</v>
      </c>
      <c r="O118" s="1">
        <f t="shared" si="19"/>
        <v>0.181658024691358</v>
      </c>
      <c r="P118" s="1">
        <f t="shared" si="20"/>
        <v>0.60986061827956983</v>
      </c>
      <c r="Q118" s="1">
        <f t="shared" si="21"/>
        <v>0.31128765432098765</v>
      </c>
    </row>
    <row r="119" spans="1:17" x14ac:dyDescent="0.25">
      <c r="A119" t="s">
        <v>29</v>
      </c>
      <c r="B119">
        <v>2</v>
      </c>
      <c r="C119" t="s">
        <v>72</v>
      </c>
      <c r="D119">
        <v>246.571</v>
      </c>
      <c r="E119">
        <v>208.357</v>
      </c>
      <c r="F119">
        <v>713</v>
      </c>
      <c r="G119">
        <v>648</v>
      </c>
      <c r="H119">
        <v>1920</v>
      </c>
      <c r="I119">
        <v>1080</v>
      </c>
      <c r="J119">
        <f t="shared" si="22"/>
        <v>603.07100000000003</v>
      </c>
      <c r="K119">
        <f t="shared" si="23"/>
        <v>115.643</v>
      </c>
      <c r="L119" s="1">
        <f t="shared" si="16"/>
        <v>0.65561984572230014</v>
      </c>
      <c r="M119" s="1">
        <f t="shared" si="17"/>
        <v>0.24276913580246917</v>
      </c>
      <c r="N119" s="1">
        <f t="shared" si="18"/>
        <v>0.62176567905563351</v>
      </c>
      <c r="O119" s="1">
        <f t="shared" si="19"/>
        <v>0.17795432098765435</v>
      </c>
      <c r="P119" s="1">
        <f t="shared" si="20"/>
        <v>0.68947401238896677</v>
      </c>
      <c r="Q119" s="1">
        <f t="shared" si="21"/>
        <v>0.307583950617284</v>
      </c>
    </row>
    <row r="120" spans="1:17" x14ac:dyDescent="0.25">
      <c r="A120" t="s">
        <v>29</v>
      </c>
      <c r="B120">
        <v>3</v>
      </c>
      <c r="C120" t="s">
        <v>68</v>
      </c>
      <c r="D120">
        <v>-9.1430000000000007</v>
      </c>
      <c r="E120">
        <v>126.929</v>
      </c>
      <c r="F120">
        <v>713</v>
      </c>
      <c r="G120">
        <v>648</v>
      </c>
      <c r="H120">
        <v>1920</v>
      </c>
      <c r="I120">
        <v>1080</v>
      </c>
      <c r="J120">
        <f t="shared" si="22"/>
        <v>347.35699999999997</v>
      </c>
      <c r="K120">
        <f t="shared" si="23"/>
        <v>197.071</v>
      </c>
      <c r="L120" s="1">
        <f t="shared" si="16"/>
        <v>0.49422952314165497</v>
      </c>
      <c r="M120" s="1">
        <f t="shared" si="17"/>
        <v>0.34329753086419751</v>
      </c>
      <c r="N120" s="1">
        <f t="shared" si="18"/>
        <v>0.46037535647498828</v>
      </c>
      <c r="O120" s="1">
        <f t="shared" si="19"/>
        <v>0.27848271604938268</v>
      </c>
      <c r="P120" s="1">
        <f t="shared" si="20"/>
        <v>0.52808368980832165</v>
      </c>
      <c r="Q120" s="1">
        <f t="shared" si="21"/>
        <v>0.40811234567901233</v>
      </c>
    </row>
    <row r="121" spans="1:17" x14ac:dyDescent="0.25">
      <c r="A121" t="s">
        <v>29</v>
      </c>
      <c r="B121">
        <v>4</v>
      </c>
      <c r="C121" t="s">
        <v>74</v>
      </c>
      <c r="D121">
        <v>-9.1430000000000007</v>
      </c>
      <c r="E121">
        <v>-37.356999999999999</v>
      </c>
      <c r="F121">
        <v>713</v>
      </c>
      <c r="G121">
        <v>648</v>
      </c>
      <c r="H121">
        <v>1920</v>
      </c>
      <c r="I121">
        <v>1080</v>
      </c>
      <c r="J121">
        <f t="shared" si="22"/>
        <v>347.35699999999997</v>
      </c>
      <c r="K121">
        <f t="shared" si="23"/>
        <v>361.35699999999997</v>
      </c>
      <c r="L121" s="1">
        <f t="shared" si="16"/>
        <v>0.49422952314165497</v>
      </c>
      <c r="M121" s="1">
        <f t="shared" si="17"/>
        <v>0.5461197530864198</v>
      </c>
      <c r="N121" s="1">
        <f t="shared" si="18"/>
        <v>0.46037535647498828</v>
      </c>
      <c r="O121" s="1">
        <f t="shared" si="19"/>
        <v>0.48130493827160498</v>
      </c>
      <c r="P121" s="1">
        <f t="shared" si="20"/>
        <v>0.52808368980832165</v>
      </c>
      <c r="Q121" s="1">
        <f t="shared" si="21"/>
        <v>0.61093456790123457</v>
      </c>
    </row>
    <row r="122" spans="1:17" x14ac:dyDescent="0.25">
      <c r="A122" t="s">
        <v>30</v>
      </c>
      <c r="B122">
        <v>1</v>
      </c>
      <c r="C122" t="s">
        <v>63</v>
      </c>
      <c r="D122">
        <v>53.713999999999999</v>
      </c>
      <c r="E122">
        <v>185.5</v>
      </c>
      <c r="F122">
        <v>713</v>
      </c>
      <c r="G122">
        <v>648</v>
      </c>
      <c r="H122">
        <v>1920</v>
      </c>
      <c r="I122">
        <v>1080</v>
      </c>
      <c r="J122">
        <f t="shared" si="22"/>
        <v>410.214</v>
      </c>
      <c r="K122">
        <f t="shared" si="23"/>
        <v>138.5</v>
      </c>
      <c r="L122" s="1">
        <f t="shared" si="16"/>
        <v>0.5339008415147265</v>
      </c>
      <c r="M122" s="1">
        <f t="shared" si="17"/>
        <v>0.2709876543209877</v>
      </c>
      <c r="N122" s="1">
        <f t="shared" si="18"/>
        <v>0.50004667484805987</v>
      </c>
      <c r="O122" s="1">
        <f t="shared" si="19"/>
        <v>0.20617283950617288</v>
      </c>
      <c r="P122" s="1">
        <f t="shared" si="20"/>
        <v>0.56775500818139313</v>
      </c>
      <c r="Q122" s="1">
        <f t="shared" si="21"/>
        <v>0.33580246913580253</v>
      </c>
    </row>
    <row r="123" spans="1:17" x14ac:dyDescent="0.25">
      <c r="A123" t="s">
        <v>30</v>
      </c>
      <c r="B123">
        <v>2</v>
      </c>
      <c r="C123" t="s">
        <v>55</v>
      </c>
      <c r="D123">
        <v>-136.286</v>
      </c>
      <c r="E123">
        <v>44.643000000000001</v>
      </c>
      <c r="F123">
        <v>713</v>
      </c>
      <c r="G123">
        <v>648</v>
      </c>
      <c r="H123">
        <v>1920</v>
      </c>
      <c r="I123">
        <v>1080</v>
      </c>
      <c r="J123">
        <f t="shared" si="22"/>
        <v>220.214</v>
      </c>
      <c r="K123">
        <f t="shared" si="23"/>
        <v>279.35699999999997</v>
      </c>
      <c r="L123" s="1">
        <f t="shared" si="16"/>
        <v>0.41398499298737729</v>
      </c>
      <c r="M123" s="1">
        <f t="shared" si="17"/>
        <v>0.44488518518518516</v>
      </c>
      <c r="N123" s="1">
        <f t="shared" si="18"/>
        <v>0.3801308263207106</v>
      </c>
      <c r="O123" s="1">
        <f t="shared" si="19"/>
        <v>0.38007037037037034</v>
      </c>
      <c r="P123" s="1">
        <f t="shared" si="20"/>
        <v>0.44783915965404397</v>
      </c>
      <c r="Q123" s="1">
        <f t="shared" si="21"/>
        <v>0.50969999999999993</v>
      </c>
    </row>
    <row r="124" spans="1:17" x14ac:dyDescent="0.25">
      <c r="A124" t="s">
        <v>30</v>
      </c>
      <c r="B124">
        <v>3</v>
      </c>
      <c r="C124" t="s">
        <v>69</v>
      </c>
      <c r="D124">
        <v>242.285</v>
      </c>
      <c r="E124">
        <v>-35.929000000000002</v>
      </c>
      <c r="F124">
        <v>713</v>
      </c>
      <c r="G124">
        <v>648</v>
      </c>
      <c r="H124">
        <v>1920</v>
      </c>
      <c r="I124">
        <v>1080</v>
      </c>
      <c r="J124">
        <f t="shared" si="22"/>
        <v>598.78499999999997</v>
      </c>
      <c r="K124">
        <f t="shared" si="23"/>
        <v>359.92899999999997</v>
      </c>
      <c r="L124" s="1">
        <f t="shared" si="16"/>
        <v>0.65291479663394103</v>
      </c>
      <c r="M124" s="1">
        <f t="shared" si="17"/>
        <v>0.54435679012345684</v>
      </c>
      <c r="N124" s="1">
        <f t="shared" si="18"/>
        <v>0.6190606299672744</v>
      </c>
      <c r="O124" s="1">
        <f t="shared" si="19"/>
        <v>0.47954197530864201</v>
      </c>
      <c r="P124" s="1">
        <f t="shared" si="20"/>
        <v>0.68676896330060766</v>
      </c>
      <c r="Q124" s="1">
        <f t="shared" si="21"/>
        <v>0.6091716049382716</v>
      </c>
    </row>
    <row r="125" spans="1:17" x14ac:dyDescent="0.25">
      <c r="A125" t="s">
        <v>30</v>
      </c>
      <c r="B125">
        <v>4</v>
      </c>
      <c r="C125" t="s">
        <v>60</v>
      </c>
      <c r="D125">
        <v>-10.571999999999999</v>
      </c>
      <c r="E125">
        <v>-109.357</v>
      </c>
      <c r="F125">
        <v>713</v>
      </c>
      <c r="G125">
        <v>648</v>
      </c>
      <c r="H125">
        <v>1920</v>
      </c>
      <c r="I125">
        <v>1080</v>
      </c>
      <c r="J125">
        <f t="shared" si="22"/>
        <v>345.928</v>
      </c>
      <c r="K125">
        <f t="shared" si="23"/>
        <v>433.35699999999997</v>
      </c>
      <c r="L125" s="1">
        <f t="shared" si="16"/>
        <v>0.49332762973352035</v>
      </c>
      <c r="M125" s="1">
        <f t="shared" si="17"/>
        <v>0.63500864197530871</v>
      </c>
      <c r="N125" s="1">
        <f t="shared" si="18"/>
        <v>0.45947346306685366</v>
      </c>
      <c r="O125" s="1">
        <f t="shared" si="19"/>
        <v>0.57019382716049394</v>
      </c>
      <c r="P125" s="1">
        <f t="shared" si="20"/>
        <v>0.52718179640018703</v>
      </c>
      <c r="Q125" s="1">
        <f t="shared" si="21"/>
        <v>0.69982345679012348</v>
      </c>
    </row>
    <row r="126" spans="1:17" x14ac:dyDescent="0.25">
      <c r="A126" t="s">
        <v>31</v>
      </c>
      <c r="B126">
        <v>1</v>
      </c>
      <c r="C126" t="s">
        <v>48</v>
      </c>
      <c r="D126">
        <v>118</v>
      </c>
      <c r="E126">
        <v>204.928</v>
      </c>
      <c r="F126">
        <v>713</v>
      </c>
      <c r="G126">
        <v>648</v>
      </c>
      <c r="H126">
        <v>1920</v>
      </c>
      <c r="I126">
        <v>1080</v>
      </c>
      <c r="J126">
        <f t="shared" si="22"/>
        <v>474.5</v>
      </c>
      <c r="K126">
        <f t="shared" si="23"/>
        <v>119.072</v>
      </c>
      <c r="L126" s="1">
        <f t="shared" si="16"/>
        <v>0.57447405329593271</v>
      </c>
      <c r="M126" s="1">
        <f t="shared" si="17"/>
        <v>0.24700246913580243</v>
      </c>
      <c r="N126" s="1">
        <f t="shared" si="18"/>
        <v>0.54061988662926608</v>
      </c>
      <c r="O126" s="1">
        <f t="shared" si="19"/>
        <v>0.1821876543209876</v>
      </c>
      <c r="P126" s="1">
        <f t="shared" si="20"/>
        <v>0.60832821996259934</v>
      </c>
      <c r="Q126" s="1">
        <f t="shared" si="21"/>
        <v>0.31181728395061725</v>
      </c>
    </row>
    <row r="127" spans="1:17" x14ac:dyDescent="0.25">
      <c r="A127" t="s">
        <v>31</v>
      </c>
      <c r="B127">
        <v>2</v>
      </c>
      <c r="C127" t="s">
        <v>47</v>
      </c>
      <c r="D127">
        <v>-12.571999999999999</v>
      </c>
      <c r="E127">
        <v>124.929</v>
      </c>
      <c r="F127">
        <v>713</v>
      </c>
      <c r="G127">
        <v>648</v>
      </c>
      <c r="H127">
        <v>1920</v>
      </c>
      <c r="I127">
        <v>1080</v>
      </c>
      <c r="J127">
        <f t="shared" si="22"/>
        <v>343.928</v>
      </c>
      <c r="K127">
        <f t="shared" si="23"/>
        <v>199.071</v>
      </c>
      <c r="L127" s="1">
        <f t="shared" si="16"/>
        <v>0.49206535764375875</v>
      </c>
      <c r="M127" s="1">
        <f t="shared" si="17"/>
        <v>0.34576666666666667</v>
      </c>
      <c r="N127" s="1">
        <f t="shared" si="18"/>
        <v>0.45821119097709206</v>
      </c>
      <c r="O127" s="1">
        <f t="shared" si="19"/>
        <v>0.28095185185185184</v>
      </c>
      <c r="P127" s="1">
        <f t="shared" si="20"/>
        <v>0.52591952431042543</v>
      </c>
      <c r="Q127" s="1">
        <f t="shared" si="21"/>
        <v>0.41058148148148149</v>
      </c>
    </row>
    <row r="128" spans="1:17" x14ac:dyDescent="0.25">
      <c r="A128" t="s">
        <v>31</v>
      </c>
      <c r="B128">
        <v>3</v>
      </c>
      <c r="C128" t="s">
        <v>49</v>
      </c>
      <c r="D128">
        <v>120.285</v>
      </c>
      <c r="E128">
        <v>42.643000000000001</v>
      </c>
      <c r="F128">
        <v>713</v>
      </c>
      <c r="G128">
        <v>648</v>
      </c>
      <c r="H128">
        <v>1920</v>
      </c>
      <c r="I128">
        <v>1080</v>
      </c>
      <c r="J128">
        <f t="shared" si="22"/>
        <v>476.78499999999997</v>
      </c>
      <c r="K128">
        <f t="shared" si="23"/>
        <v>281.35699999999997</v>
      </c>
      <c r="L128" s="1">
        <f t="shared" si="16"/>
        <v>0.57591619915848524</v>
      </c>
      <c r="M128" s="1">
        <f t="shared" si="17"/>
        <v>0.44735432098765432</v>
      </c>
      <c r="N128" s="1">
        <f t="shared" si="18"/>
        <v>0.54206203249181861</v>
      </c>
      <c r="O128" s="1">
        <f t="shared" si="19"/>
        <v>0.38253950617283949</v>
      </c>
      <c r="P128" s="1">
        <f t="shared" si="20"/>
        <v>0.60977036582515187</v>
      </c>
      <c r="Q128" s="1">
        <f t="shared" si="21"/>
        <v>0.51216913580246914</v>
      </c>
    </row>
    <row r="129" spans="1:17" x14ac:dyDescent="0.25">
      <c r="A129" t="s">
        <v>31</v>
      </c>
      <c r="B129">
        <v>4</v>
      </c>
      <c r="C129" t="s">
        <v>50</v>
      </c>
      <c r="D129">
        <v>242.285</v>
      </c>
      <c r="E129">
        <v>-110.214</v>
      </c>
      <c r="F129">
        <v>713</v>
      </c>
      <c r="G129">
        <v>648</v>
      </c>
      <c r="H129">
        <v>1920</v>
      </c>
      <c r="I129">
        <v>1080</v>
      </c>
      <c r="J129">
        <f t="shared" si="22"/>
        <v>598.78499999999997</v>
      </c>
      <c r="K129">
        <f t="shared" si="23"/>
        <v>434.214</v>
      </c>
      <c r="L129" s="1">
        <f t="shared" si="16"/>
        <v>0.65291479663394103</v>
      </c>
      <c r="M129" s="1">
        <f t="shared" si="17"/>
        <v>0.63606666666666667</v>
      </c>
      <c r="N129" s="1">
        <f t="shared" si="18"/>
        <v>0.6190606299672744</v>
      </c>
      <c r="O129" s="1">
        <f t="shared" si="19"/>
        <v>0.5712518518518519</v>
      </c>
      <c r="P129" s="1">
        <f t="shared" si="20"/>
        <v>0.68676896330060766</v>
      </c>
      <c r="Q129" s="1">
        <f t="shared" si="21"/>
        <v>0.70088148148148144</v>
      </c>
    </row>
    <row r="130" spans="1:17" x14ac:dyDescent="0.25">
      <c r="A130" t="s">
        <v>32</v>
      </c>
      <c r="B130">
        <v>1</v>
      </c>
      <c r="C130" t="s">
        <v>48</v>
      </c>
      <c r="D130">
        <v>118</v>
      </c>
      <c r="E130">
        <v>205.5</v>
      </c>
      <c r="F130">
        <v>713</v>
      </c>
      <c r="G130">
        <v>648</v>
      </c>
      <c r="H130">
        <v>1920</v>
      </c>
      <c r="I130">
        <v>1080</v>
      </c>
      <c r="J130">
        <f t="shared" si="22"/>
        <v>474.5</v>
      </c>
      <c r="K130">
        <f t="shared" si="23"/>
        <v>118.5</v>
      </c>
      <c r="L130" s="1">
        <f t="shared" si="16"/>
        <v>0.57447405329593271</v>
      </c>
      <c r="M130" s="1">
        <f t="shared" si="17"/>
        <v>0.24629629629629629</v>
      </c>
      <c r="N130" s="1">
        <f t="shared" si="18"/>
        <v>0.54061988662926608</v>
      </c>
      <c r="O130" s="1">
        <f t="shared" si="19"/>
        <v>0.18148148148148147</v>
      </c>
      <c r="P130" s="1">
        <f t="shared" si="20"/>
        <v>0.60832821996259934</v>
      </c>
      <c r="Q130" s="1">
        <f t="shared" si="21"/>
        <v>0.31111111111111112</v>
      </c>
    </row>
    <row r="131" spans="1:17" x14ac:dyDescent="0.25">
      <c r="A131" t="s">
        <v>32</v>
      </c>
      <c r="B131">
        <v>2</v>
      </c>
      <c r="C131" t="s">
        <v>47</v>
      </c>
      <c r="D131">
        <v>-12</v>
      </c>
      <c r="E131">
        <v>125.5</v>
      </c>
      <c r="F131">
        <v>713</v>
      </c>
      <c r="G131">
        <v>648</v>
      </c>
      <c r="H131">
        <v>1920</v>
      </c>
      <c r="I131">
        <v>1080</v>
      </c>
      <c r="J131">
        <f t="shared" si="22"/>
        <v>344.5</v>
      </c>
      <c r="K131">
        <f t="shared" si="23"/>
        <v>198.5</v>
      </c>
      <c r="L131" s="1">
        <f t="shared" si="16"/>
        <v>0.49242636746143059</v>
      </c>
      <c r="M131" s="1">
        <f t="shared" si="17"/>
        <v>0.34506172839506172</v>
      </c>
      <c r="N131" s="1">
        <f t="shared" si="18"/>
        <v>0.45857220079476391</v>
      </c>
      <c r="O131" s="1">
        <f t="shared" si="19"/>
        <v>0.28024691358024689</v>
      </c>
      <c r="P131" s="1">
        <f t="shared" si="20"/>
        <v>0.52628053412809728</v>
      </c>
      <c r="Q131" s="1">
        <f t="shared" si="21"/>
        <v>0.40987654320987654</v>
      </c>
    </row>
    <row r="132" spans="1:17" x14ac:dyDescent="0.25">
      <c r="A132" t="s">
        <v>32</v>
      </c>
      <c r="B132">
        <v>3</v>
      </c>
      <c r="C132" t="s">
        <v>49</v>
      </c>
      <c r="D132">
        <v>-36.286000000000001</v>
      </c>
      <c r="E132">
        <v>-35.929000000000002</v>
      </c>
      <c r="F132">
        <v>713</v>
      </c>
      <c r="G132">
        <v>648</v>
      </c>
      <c r="H132">
        <v>1920</v>
      </c>
      <c r="I132">
        <v>1080</v>
      </c>
      <c r="J132">
        <f t="shared" si="22"/>
        <v>320.214</v>
      </c>
      <c r="K132">
        <f t="shared" si="23"/>
        <v>359.92899999999997</v>
      </c>
      <c r="L132" s="1">
        <f t="shared" si="16"/>
        <v>0.4770985974754558</v>
      </c>
      <c r="M132" s="1">
        <f t="shared" si="17"/>
        <v>0.54435679012345684</v>
      </c>
      <c r="N132" s="1">
        <f t="shared" si="18"/>
        <v>0.44324443080878911</v>
      </c>
      <c r="O132" s="1">
        <f t="shared" si="19"/>
        <v>0.47954197530864201</v>
      </c>
      <c r="P132" s="1">
        <f t="shared" si="20"/>
        <v>0.51095276414212243</v>
      </c>
      <c r="Q132" s="1">
        <f t="shared" si="21"/>
        <v>0.6091716049382716</v>
      </c>
    </row>
    <row r="133" spans="1:17" x14ac:dyDescent="0.25">
      <c r="A133" t="s">
        <v>32</v>
      </c>
      <c r="B133">
        <v>4</v>
      </c>
      <c r="C133" t="s">
        <v>50</v>
      </c>
      <c r="D133">
        <v>-197.715</v>
      </c>
      <c r="E133">
        <v>-108.786</v>
      </c>
      <c r="F133">
        <v>713</v>
      </c>
      <c r="G133">
        <v>648</v>
      </c>
      <c r="H133">
        <v>1920</v>
      </c>
      <c r="I133">
        <v>1080</v>
      </c>
      <c r="J133">
        <f t="shared" si="22"/>
        <v>158.785</v>
      </c>
      <c r="K133">
        <f t="shared" si="23"/>
        <v>432.786</v>
      </c>
      <c r="L133" s="1">
        <f t="shared" si="16"/>
        <v>0.37521493688639551</v>
      </c>
      <c r="M133" s="1">
        <f t="shared" si="17"/>
        <v>0.6343037037037037</v>
      </c>
      <c r="N133" s="1">
        <f t="shared" si="18"/>
        <v>0.34136077021972883</v>
      </c>
      <c r="O133" s="1">
        <f t="shared" si="19"/>
        <v>0.56948888888888893</v>
      </c>
      <c r="P133" s="1">
        <f t="shared" si="20"/>
        <v>0.4090691035530622</v>
      </c>
      <c r="Q133" s="1">
        <f t="shared" si="21"/>
        <v>0.69911851851851847</v>
      </c>
    </row>
    <row r="134" spans="1:17" x14ac:dyDescent="0.25">
      <c r="A134" t="s">
        <v>33</v>
      </c>
      <c r="B134">
        <v>1</v>
      </c>
      <c r="C134" t="s">
        <v>63</v>
      </c>
      <c r="D134">
        <v>-80</v>
      </c>
      <c r="E134">
        <v>206.929</v>
      </c>
      <c r="F134">
        <v>713</v>
      </c>
      <c r="G134">
        <v>648</v>
      </c>
      <c r="H134">
        <v>1920</v>
      </c>
      <c r="I134">
        <v>1080</v>
      </c>
      <c r="J134">
        <f t="shared" si="22"/>
        <v>276.5</v>
      </c>
      <c r="K134">
        <f t="shared" si="23"/>
        <v>117.071</v>
      </c>
      <c r="L134" s="1">
        <f t="shared" si="16"/>
        <v>0.44950911640953717</v>
      </c>
      <c r="M134" s="1">
        <f t="shared" si="17"/>
        <v>0.24453209876543214</v>
      </c>
      <c r="N134" s="1">
        <f t="shared" si="18"/>
        <v>0.41565494974287048</v>
      </c>
      <c r="O134" s="1">
        <f t="shared" si="19"/>
        <v>0.17971728395061731</v>
      </c>
      <c r="P134" s="1">
        <f t="shared" si="20"/>
        <v>0.48336328307620385</v>
      </c>
      <c r="Q134" s="1">
        <f t="shared" si="21"/>
        <v>0.30934691358024696</v>
      </c>
    </row>
    <row r="135" spans="1:17" x14ac:dyDescent="0.25">
      <c r="A135" t="s">
        <v>33</v>
      </c>
      <c r="B135">
        <v>2</v>
      </c>
      <c r="C135" t="s">
        <v>49</v>
      </c>
      <c r="D135">
        <v>-197.715</v>
      </c>
      <c r="E135">
        <v>126.929</v>
      </c>
      <c r="F135">
        <v>713</v>
      </c>
      <c r="G135">
        <v>648</v>
      </c>
      <c r="H135">
        <v>1920</v>
      </c>
      <c r="I135">
        <v>1080</v>
      </c>
      <c r="J135">
        <f t="shared" si="22"/>
        <v>158.785</v>
      </c>
      <c r="K135">
        <f t="shared" si="23"/>
        <v>197.071</v>
      </c>
      <c r="L135" s="1">
        <f t="shared" si="16"/>
        <v>0.37521493688639551</v>
      </c>
      <c r="M135" s="1">
        <f t="shared" si="17"/>
        <v>0.34329753086419751</v>
      </c>
      <c r="N135" s="1">
        <f t="shared" si="18"/>
        <v>0.34136077021972883</v>
      </c>
      <c r="O135" s="1">
        <f t="shared" si="19"/>
        <v>0.27848271604938268</v>
      </c>
      <c r="P135" s="1">
        <f t="shared" si="20"/>
        <v>0.4090691035530622</v>
      </c>
      <c r="Q135" s="1">
        <f t="shared" si="21"/>
        <v>0.40811234567901233</v>
      </c>
    </row>
    <row r="136" spans="1:17" x14ac:dyDescent="0.25">
      <c r="A136" t="s">
        <v>33</v>
      </c>
      <c r="B136">
        <v>3</v>
      </c>
      <c r="C136" t="s">
        <v>67</v>
      </c>
      <c r="D136">
        <v>55.143000000000001</v>
      </c>
      <c r="E136">
        <v>126.929</v>
      </c>
      <c r="F136">
        <v>713</v>
      </c>
      <c r="G136">
        <v>648</v>
      </c>
      <c r="H136">
        <v>1920</v>
      </c>
      <c r="I136">
        <v>1080</v>
      </c>
      <c r="J136">
        <f t="shared" si="22"/>
        <v>411.64300000000003</v>
      </c>
      <c r="K136">
        <f t="shared" si="23"/>
        <v>197.071</v>
      </c>
      <c r="L136" s="1">
        <f t="shared" si="16"/>
        <v>0.53480273492286112</v>
      </c>
      <c r="M136" s="1">
        <f t="shared" si="17"/>
        <v>0.34329753086419751</v>
      </c>
      <c r="N136" s="1">
        <f t="shared" si="18"/>
        <v>0.50094856825619449</v>
      </c>
      <c r="O136" s="1">
        <f t="shared" si="19"/>
        <v>0.27848271604938268</v>
      </c>
      <c r="P136" s="1">
        <f t="shared" si="20"/>
        <v>0.56865690158952775</v>
      </c>
      <c r="Q136" s="1">
        <f t="shared" si="21"/>
        <v>0.40811234567901233</v>
      </c>
    </row>
    <row r="137" spans="1:17" x14ac:dyDescent="0.25">
      <c r="A137" t="s">
        <v>33</v>
      </c>
      <c r="B137">
        <v>4</v>
      </c>
      <c r="C137" t="s">
        <v>65</v>
      </c>
      <c r="D137">
        <v>-10.571999999999999</v>
      </c>
      <c r="E137">
        <v>-109.643</v>
      </c>
      <c r="F137">
        <v>713</v>
      </c>
      <c r="G137">
        <v>648</v>
      </c>
      <c r="H137">
        <v>1920</v>
      </c>
      <c r="I137">
        <v>1080</v>
      </c>
      <c r="J137">
        <f t="shared" si="22"/>
        <v>345.928</v>
      </c>
      <c r="K137">
        <f t="shared" si="23"/>
        <v>433.64300000000003</v>
      </c>
      <c r="L137" s="1">
        <f t="shared" si="16"/>
        <v>0.49332762973352035</v>
      </c>
      <c r="M137" s="1">
        <f t="shared" si="17"/>
        <v>0.63536172839506166</v>
      </c>
      <c r="N137" s="1">
        <f t="shared" si="18"/>
        <v>0.45947346306685366</v>
      </c>
      <c r="O137" s="1">
        <f t="shared" si="19"/>
        <v>0.57054691358024689</v>
      </c>
      <c r="P137" s="1">
        <f t="shared" si="20"/>
        <v>0.52718179640018703</v>
      </c>
      <c r="Q137" s="1">
        <f t="shared" si="21"/>
        <v>0.70017654320987643</v>
      </c>
    </row>
    <row r="138" spans="1:17" x14ac:dyDescent="0.25">
      <c r="A138" t="s">
        <v>34</v>
      </c>
      <c r="B138">
        <v>1</v>
      </c>
      <c r="C138" t="s">
        <v>57</v>
      </c>
      <c r="D138">
        <v>242.285</v>
      </c>
      <c r="E138">
        <v>206.929</v>
      </c>
      <c r="F138">
        <v>713</v>
      </c>
      <c r="G138">
        <v>648</v>
      </c>
      <c r="H138">
        <v>1920</v>
      </c>
      <c r="I138">
        <v>1080</v>
      </c>
      <c r="J138">
        <f t="shared" si="22"/>
        <v>598.78499999999997</v>
      </c>
      <c r="K138">
        <f t="shared" si="23"/>
        <v>117.071</v>
      </c>
      <c r="L138" s="1">
        <f t="shared" ref="L138:L161" si="24">((D138/F138)*(0.8*I138))/H138 + 0.5</f>
        <v>0.65291479663394103</v>
      </c>
      <c r="M138" s="1">
        <f t="shared" ref="M138:M161" si="25">((-E138/G138)*(0.8*I138))/I138 + 0.5</f>
        <v>0.24453209876543214</v>
      </c>
      <c r="N138" s="1">
        <f t="shared" ref="N138:N161" si="26">L138 - (65/H138)</f>
        <v>0.6190606299672744</v>
      </c>
      <c r="O138" s="1">
        <f t="shared" ref="O138:O161" si="27">M138- (70/I138)</f>
        <v>0.17971728395061731</v>
      </c>
      <c r="P138" s="1">
        <f t="shared" ref="P138:P161" si="28">L138 + (65/H138)</f>
        <v>0.68676896330060766</v>
      </c>
      <c r="Q138" s="1">
        <f t="shared" ref="Q138:Q161" si="29">M138 + (70/I138)</f>
        <v>0.30934691358024696</v>
      </c>
    </row>
    <row r="139" spans="1:17" x14ac:dyDescent="0.25">
      <c r="A139" t="s">
        <v>34</v>
      </c>
      <c r="B139">
        <v>2</v>
      </c>
      <c r="C139" t="s">
        <v>69</v>
      </c>
      <c r="D139">
        <v>120.857</v>
      </c>
      <c r="E139">
        <v>126.929</v>
      </c>
      <c r="F139">
        <v>713</v>
      </c>
      <c r="G139">
        <v>648</v>
      </c>
      <c r="H139">
        <v>1920</v>
      </c>
      <c r="I139">
        <v>1080</v>
      </c>
      <c r="J139">
        <f t="shared" si="22"/>
        <v>477.35699999999997</v>
      </c>
      <c r="K139">
        <f t="shared" si="23"/>
        <v>197.071</v>
      </c>
      <c r="L139" s="1">
        <f t="shared" si="24"/>
        <v>0.57627720897615708</v>
      </c>
      <c r="M139" s="1">
        <f t="shared" si="25"/>
        <v>0.34329753086419751</v>
      </c>
      <c r="N139" s="1">
        <f t="shared" si="26"/>
        <v>0.54242304230949046</v>
      </c>
      <c r="O139" s="1">
        <f t="shared" si="27"/>
        <v>0.27848271604938268</v>
      </c>
      <c r="P139" s="1">
        <f t="shared" si="28"/>
        <v>0.61013137564282371</v>
      </c>
      <c r="Q139" s="1">
        <f t="shared" si="29"/>
        <v>0.40811234567901233</v>
      </c>
    </row>
    <row r="140" spans="1:17" x14ac:dyDescent="0.25">
      <c r="A140" t="s">
        <v>34</v>
      </c>
      <c r="B140">
        <v>3</v>
      </c>
      <c r="C140" t="s">
        <v>61</v>
      </c>
      <c r="D140">
        <v>-9.1430000000000007</v>
      </c>
      <c r="E140">
        <v>45.5</v>
      </c>
      <c r="F140">
        <v>713</v>
      </c>
      <c r="G140">
        <v>648</v>
      </c>
      <c r="H140">
        <v>1920</v>
      </c>
      <c r="I140">
        <v>1080</v>
      </c>
      <c r="J140">
        <f t="shared" si="22"/>
        <v>347.35699999999997</v>
      </c>
      <c r="K140">
        <f t="shared" si="23"/>
        <v>278.5</v>
      </c>
      <c r="L140" s="1">
        <f t="shared" si="24"/>
        <v>0.49422952314165497</v>
      </c>
      <c r="M140" s="1">
        <f t="shared" si="25"/>
        <v>0.44382716049382714</v>
      </c>
      <c r="N140" s="1">
        <f t="shared" si="26"/>
        <v>0.46037535647498828</v>
      </c>
      <c r="O140" s="1">
        <f t="shared" si="27"/>
        <v>0.37901234567901232</v>
      </c>
      <c r="P140" s="1">
        <f t="shared" si="28"/>
        <v>0.52808368980832165</v>
      </c>
      <c r="Q140" s="1">
        <f t="shared" si="29"/>
        <v>0.50864197530864197</v>
      </c>
    </row>
    <row r="141" spans="1:17" x14ac:dyDescent="0.25">
      <c r="A141" t="s">
        <v>34</v>
      </c>
      <c r="B141">
        <v>4</v>
      </c>
      <c r="C141" t="s">
        <v>67</v>
      </c>
      <c r="D141">
        <v>-136.286</v>
      </c>
      <c r="E141">
        <v>-33.070999999999998</v>
      </c>
      <c r="F141">
        <v>713</v>
      </c>
      <c r="G141">
        <v>648</v>
      </c>
      <c r="H141">
        <v>1920</v>
      </c>
      <c r="I141">
        <v>1080</v>
      </c>
      <c r="J141">
        <f t="shared" ref="J141:J161" si="30" xml:space="preserve"> F141/2 + D141</f>
        <v>220.214</v>
      </c>
      <c r="K141">
        <f t="shared" ref="K141:K161" si="31" xml:space="preserve"> G141/2 - E141</f>
        <v>357.07100000000003</v>
      </c>
      <c r="L141" s="1">
        <f t="shared" si="24"/>
        <v>0.41398499298737729</v>
      </c>
      <c r="M141" s="1">
        <f t="shared" si="25"/>
        <v>0.54082839506172842</v>
      </c>
      <c r="N141" s="1">
        <f t="shared" si="26"/>
        <v>0.3801308263207106</v>
      </c>
      <c r="O141" s="1">
        <f t="shared" si="27"/>
        <v>0.47601358024691359</v>
      </c>
      <c r="P141" s="1">
        <f t="shared" si="28"/>
        <v>0.44783915965404397</v>
      </c>
      <c r="Q141" s="1">
        <f t="shared" si="29"/>
        <v>0.60564320987654319</v>
      </c>
    </row>
    <row r="142" spans="1:17" x14ac:dyDescent="0.25">
      <c r="A142" t="s">
        <v>35</v>
      </c>
      <c r="B142">
        <v>1</v>
      </c>
      <c r="C142" t="s">
        <v>59</v>
      </c>
      <c r="D142">
        <v>-133.429</v>
      </c>
      <c r="E142">
        <v>207.5</v>
      </c>
      <c r="F142">
        <v>713</v>
      </c>
      <c r="G142">
        <v>648</v>
      </c>
      <c r="H142">
        <v>1920</v>
      </c>
      <c r="I142">
        <v>1080</v>
      </c>
      <c r="J142">
        <f t="shared" si="30"/>
        <v>223.071</v>
      </c>
      <c r="K142">
        <f t="shared" si="31"/>
        <v>116.5</v>
      </c>
      <c r="L142" s="1">
        <f t="shared" si="24"/>
        <v>0.41578814866760166</v>
      </c>
      <c r="M142" s="1">
        <f t="shared" si="25"/>
        <v>0.24382716049382719</v>
      </c>
      <c r="N142" s="1">
        <f t="shared" si="26"/>
        <v>0.38193398200093498</v>
      </c>
      <c r="O142" s="1">
        <f t="shared" si="27"/>
        <v>0.17901234567901236</v>
      </c>
      <c r="P142" s="1">
        <f t="shared" si="28"/>
        <v>0.44964231533426835</v>
      </c>
      <c r="Q142" s="1">
        <f t="shared" si="29"/>
        <v>0.30864197530864201</v>
      </c>
    </row>
    <row r="143" spans="1:17" x14ac:dyDescent="0.25">
      <c r="A143" t="s">
        <v>35</v>
      </c>
      <c r="B143">
        <v>2</v>
      </c>
      <c r="C143" t="s">
        <v>66</v>
      </c>
      <c r="D143">
        <v>-8.2859999999999996</v>
      </c>
      <c r="E143">
        <v>124.929</v>
      </c>
      <c r="F143">
        <v>713</v>
      </c>
      <c r="G143">
        <v>648</v>
      </c>
      <c r="H143">
        <v>1920</v>
      </c>
      <c r="I143">
        <v>1080</v>
      </c>
      <c r="J143">
        <f t="shared" si="30"/>
        <v>348.214</v>
      </c>
      <c r="K143">
        <f t="shared" si="31"/>
        <v>199.071</v>
      </c>
      <c r="L143" s="1">
        <f t="shared" si="24"/>
        <v>0.49477040673211781</v>
      </c>
      <c r="M143" s="1">
        <f t="shared" si="25"/>
        <v>0.34576666666666667</v>
      </c>
      <c r="N143" s="1">
        <f t="shared" si="26"/>
        <v>0.46091624006545112</v>
      </c>
      <c r="O143" s="1">
        <f t="shared" si="27"/>
        <v>0.28095185185185184</v>
      </c>
      <c r="P143" s="1">
        <f t="shared" si="28"/>
        <v>0.52862457339878444</v>
      </c>
      <c r="Q143" s="1">
        <f t="shared" si="29"/>
        <v>0.41058148148148149</v>
      </c>
    </row>
    <row r="144" spans="1:17" x14ac:dyDescent="0.25">
      <c r="A144" t="s">
        <v>35</v>
      </c>
      <c r="B144">
        <v>3</v>
      </c>
      <c r="C144" t="s">
        <v>65</v>
      </c>
      <c r="D144">
        <v>119.428</v>
      </c>
      <c r="E144">
        <v>44.070999999999998</v>
      </c>
      <c r="F144">
        <v>713</v>
      </c>
      <c r="G144">
        <v>648</v>
      </c>
      <c r="H144">
        <v>1920</v>
      </c>
      <c r="I144">
        <v>1080</v>
      </c>
      <c r="J144">
        <f t="shared" si="30"/>
        <v>475.928</v>
      </c>
      <c r="K144">
        <f t="shared" si="31"/>
        <v>279.92899999999997</v>
      </c>
      <c r="L144" s="1">
        <f t="shared" si="24"/>
        <v>0.57537531556802246</v>
      </c>
      <c r="M144" s="1">
        <f t="shared" si="25"/>
        <v>0.44559135802469135</v>
      </c>
      <c r="N144" s="1">
        <f t="shared" si="26"/>
        <v>0.54152114890135583</v>
      </c>
      <c r="O144" s="1">
        <f t="shared" si="27"/>
        <v>0.38077654320987653</v>
      </c>
      <c r="P144" s="1">
        <f t="shared" si="28"/>
        <v>0.60922948223468909</v>
      </c>
      <c r="Q144" s="1">
        <f t="shared" si="29"/>
        <v>0.51040617283950618</v>
      </c>
    </row>
    <row r="145" spans="1:17" x14ac:dyDescent="0.25">
      <c r="A145" t="s">
        <v>35</v>
      </c>
      <c r="B145">
        <v>4</v>
      </c>
      <c r="C145" t="s">
        <v>67</v>
      </c>
      <c r="D145">
        <v>244</v>
      </c>
      <c r="E145">
        <v>-34.5</v>
      </c>
      <c r="F145">
        <v>713</v>
      </c>
      <c r="G145">
        <v>648</v>
      </c>
      <c r="H145">
        <v>1920</v>
      </c>
      <c r="I145">
        <v>1080</v>
      </c>
      <c r="J145">
        <f t="shared" si="30"/>
        <v>600.5</v>
      </c>
      <c r="K145">
        <f t="shared" si="31"/>
        <v>358.5</v>
      </c>
      <c r="L145" s="1">
        <f t="shared" si="24"/>
        <v>0.65399719495091169</v>
      </c>
      <c r="M145" s="1">
        <f t="shared" si="25"/>
        <v>0.54259259259259263</v>
      </c>
      <c r="N145" s="1">
        <f t="shared" si="26"/>
        <v>0.62014302828424506</v>
      </c>
      <c r="O145" s="1">
        <f t="shared" si="27"/>
        <v>0.4777777777777778</v>
      </c>
      <c r="P145" s="1">
        <f t="shared" si="28"/>
        <v>0.68785136161757832</v>
      </c>
      <c r="Q145" s="1">
        <f t="shared" si="29"/>
        <v>0.6074074074074074</v>
      </c>
    </row>
    <row r="146" spans="1:17" x14ac:dyDescent="0.25">
      <c r="A146" t="s">
        <v>36</v>
      </c>
      <c r="B146">
        <v>1</v>
      </c>
      <c r="C146" t="s">
        <v>73</v>
      </c>
      <c r="D146">
        <v>-10.571999999999999</v>
      </c>
      <c r="E146">
        <v>204.929</v>
      </c>
      <c r="F146">
        <v>713</v>
      </c>
      <c r="G146">
        <v>648</v>
      </c>
      <c r="H146">
        <v>1920</v>
      </c>
      <c r="I146">
        <v>1080</v>
      </c>
      <c r="J146">
        <f t="shared" si="30"/>
        <v>345.928</v>
      </c>
      <c r="K146">
        <f t="shared" si="31"/>
        <v>119.071</v>
      </c>
      <c r="L146" s="1">
        <f t="shared" si="24"/>
        <v>0.49332762973352035</v>
      </c>
      <c r="M146" s="1">
        <f t="shared" si="25"/>
        <v>0.24700123456790124</v>
      </c>
      <c r="N146" s="1">
        <f t="shared" si="26"/>
        <v>0.45947346306685366</v>
      </c>
      <c r="O146" s="1">
        <f t="shared" si="27"/>
        <v>0.18218641975308641</v>
      </c>
      <c r="P146" s="1">
        <f t="shared" si="28"/>
        <v>0.52718179640018703</v>
      </c>
      <c r="Q146" s="1">
        <f t="shared" si="29"/>
        <v>0.31181604938271607</v>
      </c>
    </row>
    <row r="147" spans="1:17" x14ac:dyDescent="0.25">
      <c r="A147" t="s">
        <v>36</v>
      </c>
      <c r="B147">
        <v>2</v>
      </c>
      <c r="C147" t="s">
        <v>72</v>
      </c>
      <c r="D147">
        <v>239.428</v>
      </c>
      <c r="E147">
        <v>44.070999999999998</v>
      </c>
      <c r="F147">
        <v>713</v>
      </c>
      <c r="G147">
        <v>648</v>
      </c>
      <c r="H147">
        <v>1920</v>
      </c>
      <c r="I147">
        <v>1080</v>
      </c>
      <c r="J147">
        <f t="shared" si="30"/>
        <v>595.928</v>
      </c>
      <c r="K147">
        <f t="shared" si="31"/>
        <v>279.92899999999997</v>
      </c>
      <c r="L147" s="1">
        <f t="shared" si="24"/>
        <v>0.65111164095371665</v>
      </c>
      <c r="M147" s="1">
        <f t="shared" si="25"/>
        <v>0.44559135802469135</v>
      </c>
      <c r="N147" s="1">
        <f t="shared" si="26"/>
        <v>0.61725747428705002</v>
      </c>
      <c r="O147" s="1">
        <f t="shared" si="27"/>
        <v>0.38077654320987653</v>
      </c>
      <c r="P147" s="1">
        <f t="shared" si="28"/>
        <v>0.68496580762038328</v>
      </c>
      <c r="Q147" s="1">
        <f t="shared" si="29"/>
        <v>0.51040617283950618</v>
      </c>
    </row>
    <row r="148" spans="1:17" x14ac:dyDescent="0.25">
      <c r="A148" t="s">
        <v>36</v>
      </c>
      <c r="B148">
        <v>3</v>
      </c>
      <c r="C148" t="s">
        <v>66</v>
      </c>
      <c r="D148">
        <v>55.143000000000001</v>
      </c>
      <c r="E148">
        <v>-30.213999999999999</v>
      </c>
      <c r="F148">
        <v>713</v>
      </c>
      <c r="G148">
        <v>648</v>
      </c>
      <c r="H148">
        <v>1920</v>
      </c>
      <c r="I148">
        <v>1080</v>
      </c>
      <c r="J148">
        <f t="shared" si="30"/>
        <v>411.64300000000003</v>
      </c>
      <c r="K148">
        <f t="shared" si="31"/>
        <v>354.214</v>
      </c>
      <c r="L148" s="1">
        <f t="shared" si="24"/>
        <v>0.53480273492286112</v>
      </c>
      <c r="M148" s="1">
        <f t="shared" si="25"/>
        <v>0.53730123456790124</v>
      </c>
      <c r="N148" s="1">
        <f t="shared" si="26"/>
        <v>0.50094856825619449</v>
      </c>
      <c r="O148" s="1">
        <f t="shared" si="27"/>
        <v>0.47248641975308642</v>
      </c>
      <c r="P148" s="1">
        <f t="shared" si="28"/>
        <v>0.56865690158952775</v>
      </c>
      <c r="Q148" s="1">
        <f t="shared" si="29"/>
        <v>0.60211604938271601</v>
      </c>
    </row>
    <row r="149" spans="1:17" x14ac:dyDescent="0.25">
      <c r="A149" t="s">
        <v>36</v>
      </c>
      <c r="B149">
        <v>4</v>
      </c>
      <c r="C149" t="s">
        <v>48</v>
      </c>
      <c r="D149">
        <v>190.857</v>
      </c>
      <c r="E149">
        <v>-110.786</v>
      </c>
      <c r="F149">
        <v>713</v>
      </c>
      <c r="G149">
        <v>648</v>
      </c>
      <c r="H149">
        <v>1920</v>
      </c>
      <c r="I149">
        <v>1080</v>
      </c>
      <c r="J149">
        <f t="shared" si="30"/>
        <v>547.35699999999997</v>
      </c>
      <c r="K149">
        <f t="shared" si="31"/>
        <v>434.786</v>
      </c>
      <c r="L149" s="1">
        <f t="shared" si="24"/>
        <v>0.62045673211781205</v>
      </c>
      <c r="M149" s="1">
        <f t="shared" si="25"/>
        <v>0.63677283950617292</v>
      </c>
      <c r="N149" s="1">
        <f t="shared" si="26"/>
        <v>0.58660256545114542</v>
      </c>
      <c r="O149" s="1">
        <f t="shared" si="27"/>
        <v>0.57195802469135815</v>
      </c>
      <c r="P149" s="1">
        <f t="shared" si="28"/>
        <v>0.65431089878447868</v>
      </c>
      <c r="Q149" s="1">
        <f t="shared" si="29"/>
        <v>0.70158765432098769</v>
      </c>
    </row>
    <row r="150" spans="1:17" x14ac:dyDescent="0.25">
      <c r="A150" t="s">
        <v>37</v>
      </c>
      <c r="B150">
        <v>1</v>
      </c>
      <c r="C150" t="s">
        <v>53</v>
      </c>
      <c r="D150">
        <v>183.714</v>
      </c>
      <c r="E150">
        <v>202.643</v>
      </c>
      <c r="F150">
        <v>713</v>
      </c>
      <c r="G150">
        <v>648</v>
      </c>
      <c r="H150">
        <v>1920</v>
      </c>
      <c r="I150">
        <v>1080</v>
      </c>
      <c r="J150">
        <f t="shared" si="30"/>
        <v>540.21399999999994</v>
      </c>
      <c r="K150">
        <f t="shared" si="31"/>
        <v>121.357</v>
      </c>
      <c r="L150" s="1">
        <f t="shared" si="24"/>
        <v>0.61594852734922867</v>
      </c>
      <c r="M150" s="1">
        <f t="shared" si="25"/>
        <v>0.24982345679012347</v>
      </c>
      <c r="N150" s="1">
        <f t="shared" si="26"/>
        <v>0.58209436068256204</v>
      </c>
      <c r="O150" s="1">
        <f t="shared" si="27"/>
        <v>0.18500864197530864</v>
      </c>
      <c r="P150" s="1">
        <f t="shared" si="28"/>
        <v>0.6498026940158953</v>
      </c>
      <c r="Q150" s="1">
        <f t="shared" si="29"/>
        <v>0.31463827160493829</v>
      </c>
    </row>
    <row r="151" spans="1:17" x14ac:dyDescent="0.25">
      <c r="A151" t="s">
        <v>37</v>
      </c>
      <c r="B151">
        <v>2</v>
      </c>
      <c r="C151" t="s">
        <v>70</v>
      </c>
      <c r="D151">
        <v>-73.429000000000002</v>
      </c>
      <c r="E151">
        <v>129.786</v>
      </c>
      <c r="F151">
        <v>713</v>
      </c>
      <c r="G151">
        <v>648</v>
      </c>
      <c r="H151">
        <v>1920</v>
      </c>
      <c r="I151">
        <v>1080</v>
      </c>
      <c r="J151">
        <f t="shared" si="30"/>
        <v>283.07100000000003</v>
      </c>
      <c r="K151">
        <f t="shared" si="31"/>
        <v>194.214</v>
      </c>
      <c r="L151" s="1">
        <f t="shared" si="24"/>
        <v>0.45365631136044882</v>
      </c>
      <c r="M151" s="1">
        <f t="shared" si="25"/>
        <v>0.33977037037037039</v>
      </c>
      <c r="N151" s="1">
        <f t="shared" si="26"/>
        <v>0.41980214469378213</v>
      </c>
      <c r="O151" s="1">
        <f t="shared" si="27"/>
        <v>0.27495555555555556</v>
      </c>
      <c r="P151" s="1">
        <f t="shared" si="28"/>
        <v>0.4875104780271155</v>
      </c>
      <c r="Q151" s="1">
        <f t="shared" si="29"/>
        <v>0.40458518518518521</v>
      </c>
    </row>
    <row r="152" spans="1:17" x14ac:dyDescent="0.25">
      <c r="A152" t="s">
        <v>37</v>
      </c>
      <c r="B152">
        <v>3</v>
      </c>
      <c r="C152" t="s">
        <v>55</v>
      </c>
      <c r="D152">
        <v>183.714</v>
      </c>
      <c r="E152">
        <v>44.070999999999998</v>
      </c>
      <c r="F152">
        <v>713</v>
      </c>
      <c r="G152">
        <v>648</v>
      </c>
      <c r="H152">
        <v>1920</v>
      </c>
      <c r="I152">
        <v>1080</v>
      </c>
      <c r="J152">
        <f t="shared" si="30"/>
        <v>540.21399999999994</v>
      </c>
      <c r="K152">
        <f t="shared" si="31"/>
        <v>279.92899999999997</v>
      </c>
      <c r="L152" s="1">
        <f t="shared" si="24"/>
        <v>0.61594852734922867</v>
      </c>
      <c r="M152" s="1">
        <f t="shared" si="25"/>
        <v>0.44559135802469135</v>
      </c>
      <c r="N152" s="1">
        <f t="shared" si="26"/>
        <v>0.58209436068256204</v>
      </c>
      <c r="O152" s="1">
        <f t="shared" si="27"/>
        <v>0.38077654320987653</v>
      </c>
      <c r="P152" s="1">
        <f t="shared" si="28"/>
        <v>0.6498026940158953</v>
      </c>
      <c r="Q152" s="1">
        <f t="shared" si="29"/>
        <v>0.51040617283950618</v>
      </c>
    </row>
    <row r="153" spans="1:17" x14ac:dyDescent="0.25">
      <c r="A153" t="s">
        <v>37</v>
      </c>
      <c r="B153">
        <v>4</v>
      </c>
      <c r="C153" t="s">
        <v>52</v>
      </c>
      <c r="D153">
        <v>55.143000000000001</v>
      </c>
      <c r="E153">
        <v>-33.929000000000002</v>
      </c>
      <c r="F153">
        <v>713</v>
      </c>
      <c r="G153">
        <v>648</v>
      </c>
      <c r="H153">
        <v>1920</v>
      </c>
      <c r="I153">
        <v>1080</v>
      </c>
      <c r="J153">
        <f t="shared" si="30"/>
        <v>411.64300000000003</v>
      </c>
      <c r="K153">
        <f t="shared" si="31"/>
        <v>357.92899999999997</v>
      </c>
      <c r="L153" s="1">
        <f t="shared" si="24"/>
        <v>0.53480273492286112</v>
      </c>
      <c r="M153" s="1">
        <f t="shared" si="25"/>
        <v>0.54188765432098762</v>
      </c>
      <c r="N153" s="1">
        <f t="shared" si="26"/>
        <v>0.50094856825619449</v>
      </c>
      <c r="O153" s="1">
        <f t="shared" si="27"/>
        <v>0.4770728395061728</v>
      </c>
      <c r="P153" s="1">
        <f t="shared" si="28"/>
        <v>0.56865690158952775</v>
      </c>
      <c r="Q153" s="1">
        <f t="shared" si="29"/>
        <v>0.60670246913580239</v>
      </c>
    </row>
    <row r="154" spans="1:17" x14ac:dyDescent="0.25">
      <c r="A154" t="s">
        <v>38</v>
      </c>
      <c r="B154">
        <v>1</v>
      </c>
      <c r="C154" t="s">
        <v>73</v>
      </c>
      <c r="D154">
        <v>-10.571999999999999</v>
      </c>
      <c r="E154">
        <v>204.929</v>
      </c>
      <c r="F154">
        <v>713</v>
      </c>
      <c r="G154">
        <v>648</v>
      </c>
      <c r="H154">
        <v>1920</v>
      </c>
      <c r="I154">
        <v>1080</v>
      </c>
      <c r="J154">
        <f t="shared" si="30"/>
        <v>345.928</v>
      </c>
      <c r="K154">
        <f t="shared" si="31"/>
        <v>119.071</v>
      </c>
      <c r="L154" s="1">
        <f t="shared" si="24"/>
        <v>0.49332762973352035</v>
      </c>
      <c r="M154" s="1">
        <f t="shared" si="25"/>
        <v>0.24700123456790124</v>
      </c>
      <c r="N154" s="1">
        <f t="shared" si="26"/>
        <v>0.45947346306685366</v>
      </c>
      <c r="O154" s="1">
        <f t="shared" si="27"/>
        <v>0.18218641975308641</v>
      </c>
      <c r="P154" s="1">
        <f t="shared" si="28"/>
        <v>0.52718179640018703</v>
      </c>
      <c r="Q154" s="1">
        <f t="shared" si="29"/>
        <v>0.31181604938271607</v>
      </c>
    </row>
    <row r="155" spans="1:17" x14ac:dyDescent="0.25">
      <c r="A155" t="s">
        <v>38</v>
      </c>
      <c r="B155">
        <v>2</v>
      </c>
      <c r="C155" t="s">
        <v>72</v>
      </c>
      <c r="D155">
        <v>239.428</v>
      </c>
      <c r="E155">
        <v>44.070999999999998</v>
      </c>
      <c r="F155">
        <v>713</v>
      </c>
      <c r="G155">
        <v>648</v>
      </c>
      <c r="H155">
        <v>1920</v>
      </c>
      <c r="I155">
        <v>1080</v>
      </c>
      <c r="J155">
        <f t="shared" si="30"/>
        <v>595.928</v>
      </c>
      <c r="K155">
        <f t="shared" si="31"/>
        <v>279.92899999999997</v>
      </c>
      <c r="L155" s="1">
        <f t="shared" si="24"/>
        <v>0.65111164095371665</v>
      </c>
      <c r="M155" s="1">
        <f t="shared" si="25"/>
        <v>0.44559135802469135</v>
      </c>
      <c r="N155" s="1">
        <f t="shared" si="26"/>
        <v>0.61725747428705002</v>
      </c>
      <c r="O155" s="1">
        <f t="shared" si="27"/>
        <v>0.38077654320987653</v>
      </c>
      <c r="P155" s="1">
        <f t="shared" si="28"/>
        <v>0.68496580762038328</v>
      </c>
      <c r="Q155" s="1">
        <f t="shared" si="29"/>
        <v>0.51040617283950618</v>
      </c>
    </row>
    <row r="156" spans="1:17" x14ac:dyDescent="0.25">
      <c r="A156" t="s">
        <v>38</v>
      </c>
      <c r="B156">
        <v>3</v>
      </c>
      <c r="C156" t="s">
        <v>66</v>
      </c>
      <c r="D156">
        <v>55.143000000000001</v>
      </c>
      <c r="E156">
        <v>-30.213999999999999</v>
      </c>
      <c r="F156">
        <v>713</v>
      </c>
      <c r="G156">
        <v>648</v>
      </c>
      <c r="H156">
        <v>1920</v>
      </c>
      <c r="I156">
        <v>1080</v>
      </c>
      <c r="J156">
        <f t="shared" si="30"/>
        <v>411.64300000000003</v>
      </c>
      <c r="K156">
        <f t="shared" si="31"/>
        <v>354.214</v>
      </c>
      <c r="L156" s="1">
        <f t="shared" si="24"/>
        <v>0.53480273492286112</v>
      </c>
      <c r="M156" s="1">
        <f t="shared" si="25"/>
        <v>0.53730123456790124</v>
      </c>
      <c r="N156" s="1">
        <f t="shared" si="26"/>
        <v>0.50094856825619449</v>
      </c>
      <c r="O156" s="1">
        <f t="shared" si="27"/>
        <v>0.47248641975308642</v>
      </c>
      <c r="P156" s="1">
        <f t="shared" si="28"/>
        <v>0.56865690158952775</v>
      </c>
      <c r="Q156" s="1">
        <f t="shared" si="29"/>
        <v>0.60211604938271601</v>
      </c>
    </row>
    <row r="157" spans="1:17" x14ac:dyDescent="0.25">
      <c r="A157" t="s">
        <v>38</v>
      </c>
      <c r="B157">
        <v>4</v>
      </c>
      <c r="C157" t="s">
        <v>48</v>
      </c>
      <c r="D157">
        <v>190.857</v>
      </c>
      <c r="E157">
        <v>-110.786</v>
      </c>
      <c r="F157">
        <v>713</v>
      </c>
      <c r="G157">
        <v>648</v>
      </c>
      <c r="H157">
        <v>1920</v>
      </c>
      <c r="I157">
        <v>1080</v>
      </c>
      <c r="J157">
        <f t="shared" si="30"/>
        <v>547.35699999999997</v>
      </c>
      <c r="K157">
        <f t="shared" si="31"/>
        <v>434.786</v>
      </c>
      <c r="L157" s="1">
        <f t="shared" si="24"/>
        <v>0.62045673211781205</v>
      </c>
      <c r="M157" s="1">
        <f t="shared" si="25"/>
        <v>0.63677283950617292</v>
      </c>
      <c r="N157" s="1">
        <f t="shared" si="26"/>
        <v>0.58660256545114542</v>
      </c>
      <c r="O157" s="1">
        <f t="shared" si="27"/>
        <v>0.57195802469135815</v>
      </c>
      <c r="P157" s="1">
        <f t="shared" si="28"/>
        <v>0.65431089878447868</v>
      </c>
      <c r="Q157" s="1">
        <f t="shared" si="29"/>
        <v>0.70158765432098769</v>
      </c>
    </row>
    <row r="158" spans="1:17" x14ac:dyDescent="0.25">
      <c r="A158" t="s">
        <v>39</v>
      </c>
      <c r="B158">
        <v>1</v>
      </c>
      <c r="C158" t="s">
        <v>59</v>
      </c>
      <c r="D158">
        <v>-133.429</v>
      </c>
      <c r="E158">
        <v>206.357</v>
      </c>
      <c r="F158">
        <v>713</v>
      </c>
      <c r="G158">
        <v>648</v>
      </c>
      <c r="H158">
        <v>1920</v>
      </c>
      <c r="I158">
        <v>1080</v>
      </c>
      <c r="J158">
        <f t="shared" si="30"/>
        <v>223.071</v>
      </c>
      <c r="K158">
        <f t="shared" si="31"/>
        <v>117.643</v>
      </c>
      <c r="L158" s="1">
        <f t="shared" si="24"/>
        <v>0.41578814866760166</v>
      </c>
      <c r="M158" s="1">
        <f t="shared" si="25"/>
        <v>0.24523827160493827</v>
      </c>
      <c r="N158" s="1">
        <f t="shared" si="26"/>
        <v>0.38193398200093498</v>
      </c>
      <c r="O158" s="1">
        <f t="shared" si="27"/>
        <v>0.18042345679012345</v>
      </c>
      <c r="P158" s="1">
        <f t="shared" si="28"/>
        <v>0.44964231533426835</v>
      </c>
      <c r="Q158" s="1">
        <f t="shared" si="29"/>
        <v>0.3100530864197531</v>
      </c>
    </row>
    <row r="159" spans="1:17" x14ac:dyDescent="0.25">
      <c r="A159" t="s">
        <v>39</v>
      </c>
      <c r="B159">
        <v>2</v>
      </c>
      <c r="C159" t="s">
        <v>60</v>
      </c>
      <c r="D159">
        <v>-134.286</v>
      </c>
      <c r="E159">
        <v>42.649000000000001</v>
      </c>
      <c r="F159">
        <v>713</v>
      </c>
      <c r="G159">
        <v>648</v>
      </c>
      <c r="H159">
        <v>1920</v>
      </c>
      <c r="I159">
        <v>1080</v>
      </c>
      <c r="J159">
        <f t="shared" si="30"/>
        <v>222.214</v>
      </c>
      <c r="K159">
        <f t="shared" si="31"/>
        <v>281.351</v>
      </c>
      <c r="L159" s="1">
        <f t="shared" si="24"/>
        <v>0.41524726507713883</v>
      </c>
      <c r="M159" s="1">
        <f t="shared" si="25"/>
        <v>0.44734691358024692</v>
      </c>
      <c r="N159" s="1">
        <f t="shared" si="26"/>
        <v>0.38139309841047214</v>
      </c>
      <c r="O159" s="1">
        <f t="shared" si="27"/>
        <v>0.38253209876543209</v>
      </c>
      <c r="P159" s="1">
        <f t="shared" si="28"/>
        <v>0.44910143174380551</v>
      </c>
      <c r="Q159" s="1">
        <f t="shared" si="29"/>
        <v>0.51216172839506169</v>
      </c>
    </row>
    <row r="160" spans="1:17" x14ac:dyDescent="0.25">
      <c r="A160" t="s">
        <v>39</v>
      </c>
      <c r="B160">
        <v>3</v>
      </c>
      <c r="C160" t="s">
        <v>63</v>
      </c>
      <c r="D160">
        <v>118</v>
      </c>
      <c r="E160">
        <v>42.649000000000001</v>
      </c>
      <c r="F160">
        <v>713</v>
      </c>
      <c r="G160">
        <v>648</v>
      </c>
      <c r="H160">
        <v>1920</v>
      </c>
      <c r="I160">
        <v>1080</v>
      </c>
      <c r="J160">
        <f t="shared" si="30"/>
        <v>474.5</v>
      </c>
      <c r="K160">
        <f t="shared" si="31"/>
        <v>281.351</v>
      </c>
      <c r="L160" s="1">
        <f t="shared" si="24"/>
        <v>0.57447405329593271</v>
      </c>
      <c r="M160" s="1">
        <f t="shared" si="25"/>
        <v>0.44734691358024692</v>
      </c>
      <c r="N160" s="1">
        <f t="shared" si="26"/>
        <v>0.54061988662926608</v>
      </c>
      <c r="O160" s="1">
        <f t="shared" si="27"/>
        <v>0.38253209876543209</v>
      </c>
      <c r="P160" s="1">
        <f t="shared" si="28"/>
        <v>0.60832821996259934</v>
      </c>
      <c r="Q160" s="1">
        <f t="shared" si="29"/>
        <v>0.51216172839506169</v>
      </c>
    </row>
    <row r="161" spans="1:17" x14ac:dyDescent="0.25">
      <c r="A161" t="s">
        <v>39</v>
      </c>
      <c r="B161">
        <v>4</v>
      </c>
      <c r="C161" t="s">
        <v>62</v>
      </c>
      <c r="D161">
        <v>-133.429</v>
      </c>
      <c r="E161">
        <v>-107.929</v>
      </c>
      <c r="F161">
        <v>713</v>
      </c>
      <c r="G161">
        <v>648</v>
      </c>
      <c r="H161">
        <v>1920</v>
      </c>
      <c r="I161">
        <v>1080</v>
      </c>
      <c r="J161">
        <f t="shared" si="30"/>
        <v>223.071</v>
      </c>
      <c r="K161">
        <f t="shared" si="31"/>
        <v>431.92899999999997</v>
      </c>
      <c r="L161" s="1">
        <f t="shared" si="24"/>
        <v>0.41578814866760166</v>
      </c>
      <c r="M161" s="1">
        <f t="shared" si="25"/>
        <v>0.63324567901234563</v>
      </c>
      <c r="N161" s="1">
        <f t="shared" si="26"/>
        <v>0.38193398200093498</v>
      </c>
      <c r="O161" s="1">
        <f t="shared" si="27"/>
        <v>0.56843086419753086</v>
      </c>
      <c r="P161" s="1">
        <f t="shared" si="28"/>
        <v>0.44964231533426835</v>
      </c>
      <c r="Q161" s="1">
        <f t="shared" si="29"/>
        <v>0.6980604938271604</v>
      </c>
    </row>
    <row r="162" spans="1:17" x14ac:dyDescent="0.25">
      <c r="A162" t="s">
        <v>86</v>
      </c>
      <c r="B162">
        <v>0</v>
      </c>
      <c r="C162" t="s">
        <v>86</v>
      </c>
      <c r="H162">
        <v>1920</v>
      </c>
      <c r="I162">
        <v>1080</v>
      </c>
      <c r="N162">
        <f>570/H162</f>
        <v>0.296875</v>
      </c>
      <c r="O162">
        <f>530/I162</f>
        <v>0.49074074074074076</v>
      </c>
      <c r="P162">
        <f>660/H162</f>
        <v>0.34375</v>
      </c>
      <c r="Q162">
        <f>665/I162</f>
        <v>0.6157407407407407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D420-CD6D-4197-9657-22FA1F6B0203}">
  <dimension ref="A2:P5"/>
  <sheetViews>
    <sheetView workbookViewId="0">
      <selection activeCell="D13" sqref="D13"/>
    </sheetView>
  </sheetViews>
  <sheetFormatPr defaultRowHeight="15" x14ac:dyDescent="0.25"/>
  <sheetData>
    <row r="2" spans="1:16" x14ac:dyDescent="0.25">
      <c r="A2">
        <v>713</v>
      </c>
      <c r="B2">
        <v>648</v>
      </c>
      <c r="C2">
        <f t="shared" ref="C2:D5" si="0">A2/2</f>
        <v>356.5</v>
      </c>
      <c r="D2">
        <f t="shared" si="0"/>
        <v>324</v>
      </c>
      <c r="L2">
        <v>478</v>
      </c>
      <c r="M2">
        <v>120</v>
      </c>
      <c r="O2">
        <f>L2-C2</f>
        <v>121.5</v>
      </c>
      <c r="P2">
        <f>(B2-M2)-D2</f>
        <v>204</v>
      </c>
    </row>
    <row r="3" spans="1:16" x14ac:dyDescent="0.25">
      <c r="A3">
        <v>713</v>
      </c>
      <c r="B3">
        <v>648</v>
      </c>
      <c r="C3">
        <f t="shared" si="0"/>
        <v>356.5</v>
      </c>
      <c r="D3">
        <f t="shared" si="0"/>
        <v>324</v>
      </c>
      <c r="L3">
        <v>348</v>
      </c>
      <c r="M3">
        <v>200</v>
      </c>
      <c r="O3">
        <f>L3-C3</f>
        <v>-8.5</v>
      </c>
      <c r="P3">
        <f>(B3-M3)-D3</f>
        <v>124</v>
      </c>
    </row>
    <row r="4" spans="1:16" x14ac:dyDescent="0.25">
      <c r="A4">
        <v>713</v>
      </c>
      <c r="B4">
        <v>648</v>
      </c>
      <c r="C4">
        <f t="shared" si="0"/>
        <v>356.5</v>
      </c>
      <c r="D4">
        <f t="shared" si="0"/>
        <v>324</v>
      </c>
      <c r="L4">
        <v>480</v>
      </c>
      <c r="M4">
        <v>285</v>
      </c>
      <c r="O4">
        <f>L4-C4</f>
        <v>123.5</v>
      </c>
      <c r="P4">
        <f>(B4-M4)-D4</f>
        <v>39</v>
      </c>
    </row>
    <row r="5" spans="1:16" x14ac:dyDescent="0.25">
      <c r="A5">
        <v>713</v>
      </c>
      <c r="B5">
        <v>648</v>
      </c>
      <c r="C5">
        <f t="shared" si="0"/>
        <v>356.5</v>
      </c>
      <c r="D5">
        <f t="shared" si="0"/>
        <v>324</v>
      </c>
      <c r="L5">
        <v>600</v>
      </c>
      <c r="M5">
        <v>438</v>
      </c>
      <c r="O5">
        <f>L5-C5</f>
        <v>243.5</v>
      </c>
      <c r="P5">
        <f>(B5-M5)-D5</f>
        <v>-114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Mejía</dc:creator>
  <cp:lastModifiedBy>Manuel Mejía</cp:lastModifiedBy>
  <dcterms:created xsi:type="dcterms:W3CDTF">2024-09-21T00:39:54Z</dcterms:created>
  <dcterms:modified xsi:type="dcterms:W3CDTF">2024-12-01T03:53:15Z</dcterms:modified>
</cp:coreProperties>
</file>